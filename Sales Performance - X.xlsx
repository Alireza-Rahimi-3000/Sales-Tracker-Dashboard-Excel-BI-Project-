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Skills\Excel\Project\"/>
    </mc:Choice>
  </mc:AlternateContent>
  <xr:revisionPtr revIDLastSave="0" documentId="13_ncr:1_{2E456EFC-4AFF-4AB9-8753-EDB162BC3A85}" xr6:coauthVersionLast="47" xr6:coauthVersionMax="47" xr10:uidLastSave="{00000000-0000-0000-0000-000000000000}"/>
  <bookViews>
    <workbookView xWindow="-120" yWindow="-120" windowWidth="23310" windowHeight="13740" xr2:uid="{C9C91798-3C97-48C3-987D-09E8F658871A}"/>
  </bookViews>
  <sheets>
    <sheet name="Raw Data" sheetId="1" r:id="rId1"/>
    <sheet name="Pivot Table" sheetId="3" r:id="rId2"/>
    <sheet name="Dashboard" sheetId="2" r:id="rId3"/>
    <sheet name="Documentation" sheetId="8" r:id="rId4"/>
  </sheets>
  <definedNames>
    <definedName name="_xlcn.WorksheetConnection_SalesPerformanceX.xlsxTable11" hidden="1">Table1[]</definedName>
    <definedName name="Slicer_Customer_Type">#N/A</definedName>
    <definedName name="Slicer_Payment_Method">#N/A</definedName>
    <definedName name="Slicer_Region">#N/A</definedName>
  </definedNames>
  <calcPr calcId="191029"/>
  <pivotCaches>
    <pivotCache cacheId="8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Raw Data" connection="WorksheetConnection_Sales Performance - X.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T12" i="3" a="1"/>
  <c r="T12" i="3" s="1"/>
  <c r="T15" i="3" s="1" a="1"/>
  <c r="T15" i="3" s="1"/>
  <c r="T13" i="3" a="1"/>
  <c r="T13" i="3" s="1"/>
  <c r="T14" i="3" a="1"/>
  <c r="T14" i="3" s="1"/>
  <c r="S5" i="1" a="1"/>
  <c r="S5" i="1" s="1"/>
  <c r="Q14" i="3" a="1"/>
  <c r="Q14" i="3" s="1"/>
  <c r="K13" i="3" a="1"/>
  <c r="K13" i="3" s="1"/>
  <c r="A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D90C9C-7078-41F1-843A-4415D977D3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3A7F3AA-F1D0-449B-B4D1-D8B833CDB118}" name="WorksheetConnection_Sales Performance - X.xlsx!Table1" type="102" refreshedVersion="8" minRefreshableVersion="5">
    <extLst>
      <ext xmlns:x15="http://schemas.microsoft.com/office/spreadsheetml/2010/11/main" uri="{DE250136-89BD-433C-8126-D09CA5730AF9}">
        <x15:connection id="Table1">
          <x15:rangePr sourceName="_xlcn.WorksheetConnection_SalesPerformanceX.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<sst xmlns="http://schemas.openxmlformats.org/spreadsheetml/2006/main" count="1335" uniqueCount="97">
  <si>
    <t>Date</t>
  </si>
  <si>
    <t>Product Name</t>
  </si>
  <si>
    <t>Category</t>
  </si>
  <si>
    <t>Sales Representative</t>
  </si>
  <si>
    <t>Region</t>
  </si>
  <si>
    <t>Quantity Sold</t>
  </si>
  <si>
    <t>Unit Price</t>
  </si>
  <si>
    <t>Total Sale</t>
  </si>
  <si>
    <t>Cost Price</t>
  </si>
  <si>
    <t>Profit</t>
  </si>
  <si>
    <t>Payment Method</t>
  </si>
  <si>
    <t>Order Status</t>
  </si>
  <si>
    <t>Region Manager</t>
  </si>
  <si>
    <t>Customer Type</t>
  </si>
  <si>
    <t>Table</t>
  </si>
  <si>
    <t>Home Goods</t>
  </si>
  <si>
    <t>Charlie</t>
  </si>
  <si>
    <t>West</t>
  </si>
  <si>
    <t>Credit Card</t>
  </si>
  <si>
    <t>Completed</t>
  </si>
  <si>
    <t>Lisa White</t>
  </si>
  <si>
    <t>Regular</t>
  </si>
  <si>
    <t>Curtains</t>
  </si>
  <si>
    <t>Bob</t>
  </si>
  <si>
    <t>East</t>
  </si>
  <si>
    <t>Cash</t>
  </si>
  <si>
    <t>Pending</t>
  </si>
  <si>
    <t>Tom Brown</t>
  </si>
  <si>
    <t>VIP</t>
  </si>
  <si>
    <t>Sneakers</t>
  </si>
  <si>
    <t>Clothing</t>
  </si>
  <si>
    <t>South</t>
  </si>
  <si>
    <t>Online Transfer</t>
  </si>
  <si>
    <t>Cancelled</t>
  </si>
  <si>
    <t>Mark Davis</t>
  </si>
  <si>
    <t>New</t>
  </si>
  <si>
    <t>Chair</t>
  </si>
  <si>
    <t>Sarah Johnson</t>
  </si>
  <si>
    <t>Lamp</t>
  </si>
  <si>
    <t>Laptop</t>
  </si>
  <si>
    <t>Electronics</t>
  </si>
  <si>
    <t>T-Shirt</t>
  </si>
  <si>
    <t>Alice</t>
  </si>
  <si>
    <t>Yoga Mat</t>
  </si>
  <si>
    <t>Sports</t>
  </si>
  <si>
    <t>Tennis Racket</t>
  </si>
  <si>
    <t>North</t>
  </si>
  <si>
    <t>Dumbbells</t>
  </si>
  <si>
    <t>Eve</t>
  </si>
  <si>
    <t>Diana</t>
  </si>
  <si>
    <t>Smartphone</t>
  </si>
  <si>
    <t>Perfume</t>
  </si>
  <si>
    <t>Beauty</t>
  </si>
  <si>
    <t>Camera</t>
  </si>
  <si>
    <t>Headphones</t>
  </si>
  <si>
    <t>Football</t>
  </si>
  <si>
    <t>Shampoo</t>
  </si>
  <si>
    <t>Jeans</t>
  </si>
  <si>
    <t>Face Cream</t>
  </si>
  <si>
    <t>Jacket</t>
  </si>
  <si>
    <t>Lipstick</t>
  </si>
  <si>
    <t>Row Labels</t>
  </si>
  <si>
    <t>Grand Total</t>
  </si>
  <si>
    <t>Sum of Total Sale</t>
  </si>
  <si>
    <t>Sum of Profit</t>
  </si>
  <si>
    <t>Profit Per Region</t>
  </si>
  <si>
    <t>Total Sales Per Catergories</t>
  </si>
  <si>
    <t>Sales Per Region</t>
  </si>
  <si>
    <t>Ranking For Region Managers</t>
  </si>
  <si>
    <t>Total Sales By Month</t>
  </si>
  <si>
    <t>Jan</t>
  </si>
  <si>
    <t>Feb</t>
  </si>
  <si>
    <t>Mar</t>
  </si>
  <si>
    <t>Apr</t>
  </si>
  <si>
    <t>May</t>
  </si>
  <si>
    <t>Jun</t>
  </si>
  <si>
    <t>Jul</t>
  </si>
  <si>
    <t>Aug</t>
  </si>
  <si>
    <t>Sep</t>
  </si>
  <si>
    <t>Oct</t>
  </si>
  <si>
    <t>Nov</t>
  </si>
  <si>
    <t>Dec</t>
  </si>
  <si>
    <t>Top 4 Sellers</t>
  </si>
  <si>
    <t>Count of Product Name</t>
  </si>
  <si>
    <t>Sum of Quantity Sold</t>
  </si>
  <si>
    <t>Customer Type (Unique) | Hidden</t>
  </si>
  <si>
    <t>Sum of Profit Margin %</t>
  </si>
  <si>
    <t>Sum of Average Order Value</t>
  </si>
  <si>
    <t>Order Count</t>
  </si>
  <si>
    <t>Sum of Completed Orders %</t>
  </si>
  <si>
    <t>CompletedFlag</t>
  </si>
  <si>
    <t>Sum of CompletedFlag</t>
  </si>
  <si>
    <t>Diagnostic Sales Per Region</t>
  </si>
  <si>
    <t>CancelledFlag</t>
  </si>
  <si>
    <t>PendingFlag</t>
  </si>
  <si>
    <t>Sum of Cancellation Rate %</t>
  </si>
  <si>
    <t>Sum of Completed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</si>
</sst>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_);_(&quot;$&quot;* \(#,##0\);_(&quot;$&quot;* &quot;-&quot;??_);_(@_)"/>
    <numFmt numFmtId="165" formatCode="[$-F800]dddd\,\ mmmm\ dd\,\ yyyy"/>
    <numFmt numFmtId="167" formatCode="0.0%"/>
    <numFmt numFmtId="169" formatCode="&quot;$&quot;#,##0"/>
  </numFmts>
  <fonts count="10">
    <font>
      <sz val="11"/>
      <color theme="1"/>
      <name val="Aptos Narrow"/>
      <family val="2"/>
      <scheme val="minor"/>
    </font>
    <font>
      <sz val="11"/>
      <color theme="1"/>
      <name val="Aptos Narrow"/>
      <family val="2"/>
      <scheme val="minor"/>
    </font>
    <font>
      <b/>
      <sz val="11"/>
      <color theme="0"/>
      <name val="Kulim Park"/>
    </font>
    <font>
      <sz val="11"/>
      <color theme="1"/>
      <name val="Kulim Park"/>
    </font>
    <font>
      <sz val="11"/>
      <color theme="1"/>
      <name val="Kulim"/>
    </font>
    <font>
      <sz val="11"/>
      <color theme="1"/>
      <name val="Aptos"/>
      <family val="2"/>
    </font>
    <font>
      <b/>
      <sz val="11"/>
      <color theme="0"/>
      <name val="Aptos"/>
      <family val="2"/>
    </font>
    <font>
      <b/>
      <sz val="11"/>
      <color theme="1"/>
      <name val="Aptos"/>
      <family val="2"/>
    </font>
    <font>
      <sz val="9"/>
      <color theme="1"/>
      <name val="Aptos"/>
      <family val="2"/>
    </font>
    <font>
      <sz val="9.5"/>
      <color theme="1"/>
      <name val="Aptos"/>
      <family val="2"/>
    </font>
  </fonts>
  <fills count="7">
    <fill>
      <patternFill patternType="none"/>
    </fill>
    <fill>
      <patternFill patternType="gray125"/>
    </fill>
    <fill>
      <patternFill patternType="solid">
        <fgColor theme="1" tint="0.14999847407452621"/>
        <bgColor indexed="64"/>
      </patternFill>
    </fill>
    <fill>
      <patternFill patternType="solid">
        <fgColor theme="0" tint="-0.14999847407452621"/>
        <bgColor indexed="64"/>
      </patternFill>
    </fill>
    <fill>
      <patternFill patternType="solid">
        <fgColor rgb="FF022213"/>
        <bgColor indexed="64"/>
      </patternFill>
    </fill>
    <fill>
      <patternFill patternType="solid">
        <fgColor rgb="FFD9D8C7"/>
        <bgColor indexed="64"/>
      </patternFill>
    </fill>
    <fill>
      <patternFill patternType="solid">
        <fgColor theme="3" tint="9.9978637043366805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14" fontId="3" fillId="0" borderId="0" xfId="0" applyNumberFormat="1"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0" fillId="3" borderId="0" xfId="0" applyFill="1"/>
    <xf numFmtId="0" fontId="5" fillId="0" borderId="0" xfId="0" applyFont="1"/>
    <xf numFmtId="165" fontId="5" fillId="0" borderId="0" xfId="0" applyNumberFormat="1" applyFont="1" applyAlignment="1">
      <alignment horizontal="center"/>
    </xf>
    <xf numFmtId="0" fontId="5" fillId="0" borderId="0" xfId="0" pivotButton="1" applyFont="1"/>
    <xf numFmtId="0" fontId="5" fillId="0" borderId="0" xfId="0" applyFont="1" applyAlignment="1">
      <alignment horizontal="left"/>
    </xf>
    <xf numFmtId="164" fontId="5" fillId="0" borderId="0" xfId="0" applyNumberFormat="1" applyFont="1"/>
    <xf numFmtId="164" fontId="5" fillId="0" borderId="0" xfId="1" applyNumberFormat="1" applyFont="1"/>
    <xf numFmtId="0" fontId="5" fillId="0" borderId="0" xfId="1" applyNumberFormat="1" applyFont="1"/>
    <xf numFmtId="0" fontId="7" fillId="0" borderId="0" xfId="0" applyFont="1"/>
    <xf numFmtId="164" fontId="7" fillId="0" borderId="0" xfId="1" applyNumberFormat="1" applyFont="1"/>
    <xf numFmtId="0" fontId="7" fillId="0" borderId="0" xfId="1" applyNumberFormat="1" applyFont="1"/>
    <xf numFmtId="0" fontId="0" fillId="5" borderId="0" xfId="0" applyFill="1" applyAlignment="1">
      <alignment horizontal="center" vertical="center"/>
    </xf>
    <xf numFmtId="0" fontId="6" fillId="4" borderId="0" xfId="0" applyFont="1" applyFill="1" applyAlignment="1">
      <alignment horizontal="center"/>
    </xf>
    <xf numFmtId="164" fontId="5" fillId="0" borderId="0" xfId="0" applyNumberFormat="1" applyFont="1" applyAlignment="1"/>
    <xf numFmtId="0" fontId="5" fillId="0" borderId="0" xfId="0" applyNumberFormat="1" applyFont="1" applyAlignment="1"/>
    <xf numFmtId="0" fontId="5" fillId="0" borderId="0" xfId="0" applyFont="1" applyAlignment="1">
      <alignment horizontal="center"/>
    </xf>
    <xf numFmtId="0" fontId="6" fillId="6" borderId="0" xfId="0" applyFont="1" applyFill="1" applyAlignment="1">
      <alignment horizontal="center"/>
    </xf>
    <xf numFmtId="164" fontId="5" fillId="0" borderId="0" xfId="0" applyNumberFormat="1" applyFont="1" applyAlignment="1">
      <alignment horizontal="center"/>
    </xf>
    <xf numFmtId="167" fontId="5" fillId="0" borderId="0" xfId="0" applyNumberFormat="1" applyFont="1" applyAlignment="1">
      <alignment horizontal="center"/>
    </xf>
    <xf numFmtId="169" fontId="5" fillId="0" borderId="0" xfId="0" applyNumberFormat="1" applyFont="1" applyAlignment="1">
      <alignment horizontal="center"/>
    </xf>
    <xf numFmtId="0" fontId="8" fillId="0" borderId="0" xfId="0" pivotButton="1" applyFont="1" applyAlignment="1">
      <alignment horizontal="center"/>
    </xf>
    <xf numFmtId="0" fontId="8" fillId="0" borderId="0" xfId="0" applyFont="1" applyAlignment="1">
      <alignment horizontal="center"/>
    </xf>
    <xf numFmtId="0" fontId="5" fillId="0" borderId="0" xfId="0" applyNumberFormat="1" applyFont="1" applyAlignment="1">
      <alignment horizontal="center"/>
    </xf>
    <xf numFmtId="0" fontId="9" fillId="0" borderId="0" xfId="0" pivotButton="1" applyFont="1" applyAlignment="1">
      <alignment horizontal="center"/>
    </xf>
    <xf numFmtId="0" fontId="9" fillId="0" borderId="0" xfId="0" applyFont="1" applyAlignment="1">
      <alignment horizontal="center"/>
    </xf>
  </cellXfs>
  <cellStyles count="2">
    <cellStyle name="Currency" xfId="1" builtinId="4"/>
    <cellStyle name="Normal" xfId="0" builtinId="0"/>
  </cellStyles>
  <dxfs count="369">
    <dxf>
      <font>
        <sz val="9"/>
      </font>
    </dxf>
    <dxf>
      <font>
        <sz val="9.5"/>
      </font>
    </dxf>
    <dxf>
      <font>
        <sz val="9"/>
      </font>
    </dxf>
    <dxf>
      <font>
        <sz val="9.5"/>
      </font>
    </dxf>
    <dxf>
      <numFmt numFmtId="0" formatCode="General"/>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7" formatCode="0.0%"/>
    </dxf>
    <dxf>
      <numFmt numFmtId="169" formatCode="&quot;$&quo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9"/>
      </font>
    </dxf>
    <dxf>
      <font>
        <sz val="9"/>
      </font>
    </dxf>
    <dxf>
      <numFmt numFmtId="167"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7" formatCode="0.0%"/>
    </dxf>
    <dxf>
      <numFmt numFmtId="169" formatCode="&quot;$&quo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9"/>
      </font>
    </dxf>
    <dxf>
      <font>
        <sz val="9"/>
      </font>
    </dxf>
    <dxf>
      <numFmt numFmtId="167"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7" formatCode="0.0%"/>
    </dxf>
    <dxf>
      <numFmt numFmtId="169" formatCode="&quot;$&quo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9"/>
      </font>
    </dxf>
    <dxf>
      <font>
        <sz val="9"/>
      </font>
    </dxf>
    <dxf>
      <numFmt numFmtId="167"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7" formatCode="0.0%"/>
    </dxf>
    <dxf>
      <numFmt numFmtId="169" formatCode="&quot;$&quo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7"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7" formatCode="0.0%"/>
    </dxf>
    <dxf>
      <numFmt numFmtId="169" formatCode="&quot;$&quo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9"/>
      </font>
    </dxf>
    <dxf>
      <font>
        <sz val="9"/>
      </font>
    </dxf>
    <dxf>
      <numFmt numFmtId="167"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7" formatCode="0.0%"/>
    </dxf>
    <dxf>
      <numFmt numFmtId="169" formatCode="&quot;$&quo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9"/>
      </font>
    </dxf>
    <dxf>
      <font>
        <sz val="9"/>
      </font>
    </dxf>
    <dxf>
      <numFmt numFmtId="167"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7" formatCode="0.0%"/>
    </dxf>
    <dxf>
      <numFmt numFmtId="169" formatCode="&quot;$&quo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sz val="9"/>
      </font>
    </dxf>
    <dxf>
      <font>
        <sz val="9"/>
      </font>
    </dxf>
    <dxf>
      <numFmt numFmtId="167" formatCode="0.0%"/>
    </dxf>
    <dxf>
      <font>
        <b val="0"/>
        <i val="0"/>
        <strike val="0"/>
        <condense val="0"/>
        <extend val="0"/>
        <outline val="0"/>
        <shadow val="0"/>
        <u val="none"/>
        <vertAlign val="baseline"/>
        <sz val="11"/>
        <color theme="1"/>
        <name val="Kulim Park"/>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numFmt numFmtId="0" formatCode="General"/>
      <alignment horizontal="center" vertical="center" textRotation="0" wrapText="0" indent="0" justifyLastLine="0" shrinkToFit="0" readingOrder="0"/>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alignment horizontal="general"/>
    </dxf>
    <dxf>
      <numFmt numFmtId="0" formatCode="General"/>
    </dxf>
    <dxf>
      <font>
        <name val="Aptos"/>
        <family val="2"/>
      </font>
    </dxf>
    <dxf>
      <font>
        <name val="Aptos"/>
        <family val="2"/>
      </font>
    </dxf>
    <dxf>
      <font>
        <name val="Aptos"/>
        <family val="2"/>
      </font>
    </dxf>
    <dxf>
      <font>
        <name val="Aptos"/>
        <family val="2"/>
      </font>
    </dxf>
    <dxf>
      <font>
        <name val="Aptos"/>
        <family val="2"/>
      </font>
    </dxf>
    <dxf>
      <font>
        <name val="Aptos"/>
        <family val="2"/>
      </font>
    </dxf>
    <dxf>
      <alignment horizontal="general"/>
    </dxf>
    <dxf>
      <numFmt numFmtId="164" formatCode="_(&quot;$&quot;* #,##0_);_(&quot;$&quot;* \(#,##0\);_(&quot;$&quot;* &quot;-&quot;??_);_(@_)"/>
    </dxf>
    <dxf>
      <font>
        <name val="Aptos"/>
        <family val="2"/>
      </font>
    </dxf>
    <dxf>
      <font>
        <name val="Aptos"/>
        <family val="2"/>
      </font>
    </dxf>
    <dxf>
      <font>
        <name val="Aptos"/>
        <family val="2"/>
      </font>
    </dxf>
    <dxf>
      <font>
        <name val="Aptos"/>
        <family val="2"/>
      </font>
    </dxf>
    <dxf>
      <font>
        <name val="Aptos"/>
        <family val="2"/>
      </font>
    </dxf>
    <dxf>
      <font>
        <name val="Aptos"/>
        <family val="2"/>
      </font>
    </dxf>
    <dxf>
      <font>
        <name val="Aptos"/>
        <family val="2"/>
      </font>
    </dxf>
    <dxf>
      <font>
        <name val="Aptos"/>
        <family val="2"/>
      </font>
    </dxf>
    <dxf>
      <font>
        <name val="Aptos"/>
        <family val="2"/>
      </font>
    </dxf>
    <dxf>
      <font>
        <name val="Aptos"/>
        <family val="2"/>
      </font>
    </dxf>
    <dxf>
      <font>
        <name val="Aptos"/>
        <family val="2"/>
      </font>
    </dxf>
    <dxf>
      <font>
        <name val="Aptos"/>
        <family val="2"/>
      </font>
    </dxf>
    <dxf>
      <numFmt numFmtId="164" formatCode="_(&quot;$&quot;* #,##0_);_(&quot;$&quot;* \(#,##0\);_(&quot;$&quot;* &quot;-&quot;??_);_(@_)"/>
    </dxf>
    <dxf>
      <alignment horizontal="general"/>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Kulim Park"/>
        <scheme val="none"/>
      </font>
      <fill>
        <patternFill patternType="solid">
          <fgColor indexed="64"/>
          <bgColor theme="1" tint="0.14999847407452621"/>
        </patternFill>
      </fill>
      <alignment horizontal="center" vertical="center" textRotation="0" wrapText="0" indent="0" justifyLastLine="0" shrinkToFit="0" readingOrder="0"/>
    </dxf>
    <dxf>
      <fill>
        <patternFill>
          <fgColor rgb="FF022213"/>
          <bgColor rgb="FF022213"/>
        </patternFill>
      </fill>
    </dxf>
    <dxf>
      <fill>
        <patternFill>
          <fgColor rgb="FF022213"/>
          <bgColor rgb="FF022213"/>
        </patternFill>
      </fill>
    </dxf>
  </dxfs>
  <tableStyles count="1" defaultTableStyle="TableStyleMedium2" defaultPivotStyle="PivotStyleLight16">
    <tableStyle name="Slicer Style 2" pivot="0" table="0" count="10" xr9:uid="{231E1763-07CD-4296-9DEE-628C39514F04}">
      <tableStyleElement type="wholeTable" dxfId="368"/>
      <tableStyleElement type="headerRow" dxfId="367"/>
    </tableStyle>
  </tableStyles>
  <colors>
    <mruColors>
      <color rgb="FF022213"/>
      <color rgb="FF9999FF"/>
      <color rgb="FFAFE03C"/>
      <color rgb="FFFF6600"/>
      <color rgb="FFFFFFFF"/>
      <color rgb="FFD9D8C7"/>
      <color rgb="FF009999"/>
      <color rgb="FFD8D9C7"/>
      <color rgb="FF56AC00"/>
      <color rgb="FF5CB800"/>
    </mruColors>
  </colors>
  <extLst>
    <ext xmlns:x14="http://schemas.microsoft.com/office/spreadsheetml/2009/9/main" uri="{46F421CA-312F-682f-3DD2-61675219B42D}">
      <x14:dxfs count="8">
        <dxf>
          <font>
            <color theme="0"/>
            <name val="Kulim Park"/>
            <scheme val="none"/>
          </font>
          <border>
            <left style="thick">
              <color rgb="FFAFE03C"/>
            </left>
          </border>
        </dxf>
        <dxf>
          <fill>
            <patternFill>
              <fgColor rgb="FF022213"/>
              <bgColor rgb="FF022213"/>
            </patternFill>
          </fill>
          <border>
            <left style="thick">
              <color rgb="FFAFE03C"/>
            </left>
          </border>
        </dxf>
        <dxf>
          <font>
            <b val="0"/>
            <i val="0"/>
            <sz val="13"/>
            <color theme="0"/>
            <name val="Kulim Park"/>
            <scheme val="none"/>
          </font>
          <border>
            <left style="thick">
              <color rgb="FFAFE03C"/>
            </left>
          </border>
        </dxf>
        <dxf>
          <font>
            <sz val="13"/>
            <color theme="0"/>
            <name val="Kulim Park"/>
            <scheme val="none"/>
          </font>
          <border>
            <left style="thick">
              <color rgb="FFAFE03C"/>
            </left>
          </border>
        </dxf>
        <dxf>
          <font>
            <sz val="10"/>
            <color theme="0"/>
            <name val="Kulim Park"/>
            <scheme val="none"/>
          </font>
        </dxf>
        <dxf>
          <font>
            <b/>
            <i val="0"/>
            <sz val="13"/>
            <color theme="0"/>
            <name val="Kulim Park"/>
            <scheme val="none"/>
          </font>
          <border>
            <left style="thick">
              <color rgb="FFAFE03C"/>
            </left>
          </border>
        </dxf>
        <dxf>
          <font>
            <color theme="0"/>
          </font>
          <fill>
            <patternFill>
              <fgColor rgb="FF022213"/>
              <bgColor rgb="FF022213"/>
            </patternFill>
          </fill>
        </dxf>
        <dxf>
          <font>
            <color theme="0"/>
            <name val="Kulim Park"/>
            <scheme val="none"/>
          </font>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9.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X.xlsx]Pivot Table!Sales Per Region	</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22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Table'!$I$5</c:f>
              <c:strCache>
                <c:ptCount val="1"/>
                <c:pt idx="0">
                  <c:v>Total</c:v>
                </c:pt>
              </c:strCache>
            </c:strRef>
          </c:tx>
          <c:spPr>
            <a:solidFill>
              <a:srgbClr val="022213"/>
            </a:solidFill>
            <a:ln>
              <a:noFill/>
            </a:ln>
            <a:effectLst/>
          </c:spPr>
          <c:invertIfNegative val="0"/>
          <c:cat>
            <c:strRef>
              <c:f>'Pivot Table'!$H$6:$H$10</c:f>
              <c:strCache>
                <c:ptCount val="4"/>
                <c:pt idx="0">
                  <c:v>East</c:v>
                </c:pt>
                <c:pt idx="1">
                  <c:v>North</c:v>
                </c:pt>
                <c:pt idx="2">
                  <c:v>South</c:v>
                </c:pt>
                <c:pt idx="3">
                  <c:v>West</c:v>
                </c:pt>
              </c:strCache>
            </c:strRef>
          </c:cat>
          <c:val>
            <c:numRef>
              <c:f>'Pivot Table'!$I$6:$I$10</c:f>
              <c:numCache>
                <c:formatCode>_("$"* #,##0_);_("$"* \(#,##0\);_("$"* "-"??_);_(@_)</c:formatCode>
                <c:ptCount val="4"/>
                <c:pt idx="0">
                  <c:v>60100.989999999983</c:v>
                </c:pt>
                <c:pt idx="1">
                  <c:v>50329.01</c:v>
                </c:pt>
                <c:pt idx="2">
                  <c:v>67158.789999999994</c:v>
                </c:pt>
                <c:pt idx="3">
                  <c:v>31182.520000000004</c:v>
                </c:pt>
              </c:numCache>
            </c:numRef>
          </c:val>
          <c:extLst>
            <c:ext xmlns:c16="http://schemas.microsoft.com/office/drawing/2014/chart" uri="{C3380CC4-5D6E-409C-BE32-E72D297353CC}">
              <c16:uniqueId val="{00000000-D039-4A93-A587-C3E455E905BD}"/>
            </c:ext>
          </c:extLst>
        </c:ser>
        <c:dLbls>
          <c:showLegendKey val="0"/>
          <c:showVal val="0"/>
          <c:showCatName val="0"/>
          <c:showSerName val="0"/>
          <c:showPercent val="0"/>
          <c:showBubbleSize val="0"/>
        </c:dLbls>
        <c:gapWidth val="102"/>
        <c:overlap val="-24"/>
        <c:axId val="1816656015"/>
        <c:axId val="1816668015"/>
      </c:barChart>
      <c:catAx>
        <c:axId val="18166560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Kulim Park" pitchFamily="2" charset="0"/>
                <a:ea typeface="+mn-ea"/>
                <a:cs typeface="+mn-cs"/>
              </a:defRPr>
            </a:pPr>
            <a:endParaRPr lang="en-US"/>
          </a:p>
        </c:txPr>
        <c:crossAx val="1816668015"/>
        <c:crosses val="autoZero"/>
        <c:auto val="1"/>
        <c:lblAlgn val="ctr"/>
        <c:lblOffset val="100"/>
        <c:noMultiLvlLbl val="0"/>
      </c:catAx>
      <c:valAx>
        <c:axId val="1816668015"/>
        <c:scaling>
          <c:orientation val="minMax"/>
          <c:max val="70000"/>
          <c:min val="0"/>
        </c:scaling>
        <c:delete val="0"/>
        <c:axPos val="b"/>
        <c:majorGridlines>
          <c:spPr>
            <a:ln w="9525" cap="flat" cmpd="sng" algn="ctr">
              <a:solidFill>
                <a:schemeClr val="tx1">
                  <a:lumMod val="15000"/>
                  <a:lumOff val="85000"/>
                </a:schemeClr>
              </a:solidFill>
              <a:round/>
            </a:ln>
            <a:effectLst/>
          </c:spPr>
        </c:majorGridlines>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81665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22213"/>
              </a:solidFill>
              <a:ln w="19050">
                <a:noFill/>
              </a:ln>
              <a:effectLst/>
            </c:spPr>
            <c:extLst>
              <c:ext xmlns:c16="http://schemas.microsoft.com/office/drawing/2014/chart" uri="{C3380CC4-5D6E-409C-BE32-E72D297353CC}">
                <c16:uniqueId val="{00000001-EF60-456C-A2C3-E2F73DED0198}"/>
              </c:ext>
            </c:extLst>
          </c:dPt>
          <c:dPt>
            <c:idx val="1"/>
            <c:bubble3D val="0"/>
            <c:spPr>
              <a:solidFill>
                <a:srgbClr val="AFE03C"/>
              </a:solidFill>
              <a:ln w="19050">
                <a:solidFill>
                  <a:schemeClr val="lt1"/>
                </a:solidFill>
              </a:ln>
              <a:effectLst/>
            </c:spPr>
            <c:extLst>
              <c:ext xmlns:c16="http://schemas.microsoft.com/office/drawing/2014/chart" uri="{C3380CC4-5D6E-409C-BE32-E72D297353CC}">
                <c16:uniqueId val="{00000003-EF60-456C-A2C3-E2F73DED0198}"/>
              </c:ext>
            </c:extLst>
          </c:dPt>
          <c:dPt>
            <c:idx val="2"/>
            <c:bubble3D val="0"/>
            <c:spPr>
              <a:solidFill>
                <a:srgbClr val="D8D9C7"/>
              </a:solidFill>
              <a:ln w="19050">
                <a:solidFill>
                  <a:schemeClr val="lt1"/>
                </a:solidFill>
              </a:ln>
              <a:effectLst/>
            </c:spPr>
            <c:extLst>
              <c:ext xmlns:c16="http://schemas.microsoft.com/office/drawing/2014/chart" uri="{C3380CC4-5D6E-409C-BE32-E72D297353CC}">
                <c16:uniqueId val="{00000005-EF60-456C-A2C3-E2F73DED0198}"/>
              </c:ext>
            </c:extLst>
          </c:dPt>
          <c:dLbls>
            <c:dLbl>
              <c:idx val="0"/>
              <c:layout>
                <c:manualLayout>
                  <c:x val="0.16499355004371288"/>
                  <c:y val="-0.180980742025360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60-456C-A2C3-E2F73DED0198}"/>
                </c:ext>
              </c:extLst>
            </c:dLbl>
            <c:dLbl>
              <c:idx val="1"/>
              <c:layout>
                <c:manualLayout>
                  <c:x val="0.26690133095306501"/>
                  <c:y val="0.120653828016907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60-456C-A2C3-E2F73DED0198}"/>
                </c:ext>
              </c:extLst>
            </c:dLbl>
            <c:dLbl>
              <c:idx val="2"/>
              <c:layout>
                <c:manualLayout>
                  <c:x val="-0.15043531359879536"/>
                  <c:y val="-0.1940658409014044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60-456C-A2C3-E2F73DED019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Table'!$T$12:$T$14</c:f>
              <c:strCache>
                <c:ptCount val="3"/>
                <c:pt idx="0">
                  <c:v>Cancelled</c:v>
                </c:pt>
                <c:pt idx="1">
                  <c:v>Completed</c:v>
                </c:pt>
                <c:pt idx="2">
                  <c:v>Pending</c:v>
                </c:pt>
              </c:strCache>
            </c:strRef>
          </c:cat>
          <c:val>
            <c:numRef>
              <c:f>'Pivot Table'!$U$12:$U$14</c:f>
              <c:numCache>
                <c:formatCode>General</c:formatCode>
                <c:ptCount val="3"/>
                <c:pt idx="0">
                  <c:v>37</c:v>
                </c:pt>
                <c:pt idx="1">
                  <c:v>71</c:v>
                </c:pt>
                <c:pt idx="2">
                  <c:v>42</c:v>
                </c:pt>
              </c:numCache>
            </c:numRef>
          </c:val>
          <c:extLst>
            <c:ext xmlns:c16="http://schemas.microsoft.com/office/drawing/2014/chart" uri="{C3380CC4-5D6E-409C-BE32-E72D297353CC}">
              <c16:uniqueId val="{00000006-EF60-456C-A2C3-E2F73DED019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X.xlsx]Pivot Table!Total Sales By Month</c:name>
    <c:fmtId val="3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AFE03C"/>
            </a:solidFill>
            <a:round/>
          </a:ln>
          <a:effectLst/>
        </c:spPr>
        <c:marker>
          <c:symbol val="circle"/>
          <c:size val="6"/>
          <c:spPr>
            <a:solidFill>
              <a:schemeClr val="bg1"/>
            </a:solidFill>
            <a:ln w="12700">
              <a:solidFill>
                <a:srgbClr val="02221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Table'!$O$5</c:f>
              <c:strCache>
                <c:ptCount val="1"/>
                <c:pt idx="0">
                  <c:v>Total</c:v>
                </c:pt>
              </c:strCache>
            </c:strRef>
          </c:tx>
          <c:spPr>
            <a:ln w="31750" cap="rnd">
              <a:solidFill>
                <a:srgbClr val="AFE03C"/>
              </a:solidFill>
              <a:round/>
            </a:ln>
            <a:effectLst/>
          </c:spPr>
          <c:marker>
            <c:symbol val="circle"/>
            <c:size val="6"/>
            <c:spPr>
              <a:solidFill>
                <a:schemeClr val="bg1"/>
              </a:solidFill>
              <a:ln w="12700">
                <a:solidFill>
                  <a:srgbClr val="022213"/>
                </a:solidFill>
              </a:ln>
              <a:effectLst/>
            </c:spPr>
          </c:marker>
          <c:cat>
            <c:strRef>
              <c:f>'Pivot Table'!$N$6:$N$18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Table'!$O$6:$O$18</c:f>
              <c:numCache>
                <c:formatCode>_("$"* #,##0_);_("$"* \(#,##0\);_("$"* "-"??_);_(@_)</c:formatCode>
                <c:ptCount val="12"/>
                <c:pt idx="0">
                  <c:v>24528.94</c:v>
                </c:pt>
                <c:pt idx="1">
                  <c:v>15451.27</c:v>
                </c:pt>
                <c:pt idx="2">
                  <c:v>17672.21</c:v>
                </c:pt>
                <c:pt idx="3">
                  <c:v>25578.950000000004</c:v>
                </c:pt>
                <c:pt idx="4">
                  <c:v>20630.37</c:v>
                </c:pt>
                <c:pt idx="5">
                  <c:v>17614.050000000003</c:v>
                </c:pt>
                <c:pt idx="6">
                  <c:v>15549.45</c:v>
                </c:pt>
                <c:pt idx="7">
                  <c:v>13249.36</c:v>
                </c:pt>
                <c:pt idx="8">
                  <c:v>33596.710000000006</c:v>
                </c:pt>
                <c:pt idx="9">
                  <c:v>10508.74</c:v>
                </c:pt>
                <c:pt idx="10">
                  <c:v>9270.7799999999988</c:v>
                </c:pt>
                <c:pt idx="11">
                  <c:v>5120.4799999999996</c:v>
                </c:pt>
              </c:numCache>
            </c:numRef>
          </c:val>
          <c:smooth val="1"/>
          <c:extLst>
            <c:ext xmlns:c16="http://schemas.microsoft.com/office/drawing/2014/chart" uri="{C3380CC4-5D6E-409C-BE32-E72D297353CC}">
              <c16:uniqueId val="{00000000-A93B-4D6C-9324-00071268673D}"/>
            </c:ext>
          </c:extLst>
        </c:ser>
        <c:dLbls>
          <c:showLegendKey val="0"/>
          <c:showVal val="0"/>
          <c:showCatName val="0"/>
          <c:showSerName val="0"/>
          <c:showPercent val="0"/>
          <c:showBubbleSize val="0"/>
        </c:dLbls>
        <c:marker val="1"/>
        <c:smooth val="0"/>
        <c:axId val="1333682975"/>
        <c:axId val="1333670975"/>
      </c:lineChart>
      <c:catAx>
        <c:axId val="1333682975"/>
        <c:scaling>
          <c:orientation val="minMax"/>
        </c:scaling>
        <c:delete val="0"/>
        <c:axPos val="b"/>
        <c:numFmt formatCode="General" sourceLinked="1"/>
        <c:majorTickMark val="none"/>
        <c:minorTickMark val="none"/>
        <c:tickLblPos val="nextTo"/>
        <c:spPr>
          <a:noFill/>
          <a:ln w="6350" cap="flat" cmpd="sng" algn="ctr">
            <a:solidFill>
              <a:schemeClr val="bg1">
                <a:lumMod val="6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Kulim Park" pitchFamily="2" charset="0"/>
                <a:ea typeface="+mn-ea"/>
                <a:cs typeface="+mn-cs"/>
              </a:defRPr>
            </a:pPr>
            <a:endParaRPr lang="en-US"/>
          </a:p>
        </c:txPr>
        <c:crossAx val="1333670975"/>
        <c:crosses val="autoZero"/>
        <c:auto val="1"/>
        <c:lblAlgn val="ctr"/>
        <c:lblOffset val="100"/>
        <c:noMultiLvlLbl val="0"/>
      </c:catAx>
      <c:valAx>
        <c:axId val="1333670975"/>
        <c:scaling>
          <c:orientation val="minMax"/>
          <c:min val="0"/>
        </c:scaling>
        <c:delete val="0"/>
        <c:axPos val="l"/>
        <c:majorGridlines>
          <c:spPr>
            <a:ln w="8890" cap="flat" cmpd="sng" algn="ctr">
              <a:solidFill>
                <a:srgbClr val="022213">
                  <a:alpha val="18000"/>
                </a:srgbClr>
              </a:solidFill>
              <a:prstDash val="dashDot"/>
              <a:round/>
            </a:ln>
            <a:effectLst/>
          </c:spPr>
        </c:majorGridlines>
        <c:numFmt formatCode="&quot;$&quot;* #,##0,&quot;K&quot;" sourceLinked="0"/>
        <c:majorTickMark val="none"/>
        <c:minorTickMark val="none"/>
        <c:tickLblPos val="nextTo"/>
        <c:spPr>
          <a:noFill/>
          <a:ln w="6350">
            <a:solidFill>
              <a:schemeClr val="bg1">
                <a:lumMod val="50000"/>
              </a:schemeClr>
            </a:solidFill>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Kulim Park" pitchFamily="2" charset="0"/>
                <a:ea typeface="+mn-ea"/>
                <a:cs typeface="+mn-cs"/>
              </a:defRPr>
            </a:pPr>
            <a:endParaRPr lang="en-US"/>
          </a:p>
        </c:txPr>
        <c:crossAx val="133368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Data Table'!A1"/><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3.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image" Target="../media/image12.sv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15</xdr:col>
      <xdr:colOff>1304882</xdr:colOff>
      <xdr:row>0</xdr:row>
      <xdr:rowOff>55156</xdr:rowOff>
    </xdr:from>
    <xdr:to>
      <xdr:col>16</xdr:col>
      <xdr:colOff>1183232</xdr:colOff>
      <xdr:row>1</xdr:row>
      <xdr:rowOff>120359</xdr:rowOff>
    </xdr:to>
    <xdr:grpSp>
      <xdr:nvGrpSpPr>
        <xdr:cNvPr id="2" name="Group 1">
          <a:hlinkClick xmlns:r="http://schemas.openxmlformats.org/officeDocument/2006/relationships" r:id="rId1"/>
          <a:extLst>
            <a:ext uri="{FF2B5EF4-FFF2-40B4-BE49-F238E27FC236}">
              <a16:creationId xmlns:a16="http://schemas.microsoft.com/office/drawing/2014/main" id="{D49B03F6-EBD0-433B-B5BE-97473ED5041F}"/>
            </a:ext>
          </a:extLst>
        </xdr:cNvPr>
        <xdr:cNvGrpSpPr/>
      </xdr:nvGrpSpPr>
      <xdr:grpSpPr>
        <a:xfrm>
          <a:off x="16624257" y="55156"/>
          <a:ext cx="1205046" cy="257971"/>
          <a:chOff x="13446524" y="208835"/>
          <a:chExt cx="1222333" cy="258770"/>
        </a:xfrm>
      </xdr:grpSpPr>
      <xdr:sp macro="" textlink="'Pivot Table'!#REF!">
        <xdr:nvSpPr>
          <xdr:cNvPr id="3" name="TextBox 2">
            <a:extLst>
              <a:ext uri="{FF2B5EF4-FFF2-40B4-BE49-F238E27FC236}">
                <a16:creationId xmlns:a16="http://schemas.microsoft.com/office/drawing/2014/main" id="{A59261A0-4C97-13AA-4DEE-ABA835E4969E}"/>
              </a:ext>
            </a:extLst>
          </xdr:cNvPr>
          <xdr:cNvSpPr txBox="1"/>
        </xdr:nvSpPr>
        <xdr:spPr>
          <a:xfrm>
            <a:off x="13446524" y="208835"/>
            <a:ext cx="968442" cy="258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22213"/>
                </a:solidFill>
                <a:latin typeface="Kulim Park" pitchFamily="2" charset="0"/>
                <a:ea typeface="Roboto Black" panose="02000000000000000000" pitchFamily="2" charset="0"/>
                <a:cs typeface="Times New Roman" panose="02020603050405020304" pitchFamily="18" charset="0"/>
              </a:rPr>
              <a:t>Dashboard</a:t>
            </a:r>
          </a:p>
        </xdr:txBody>
      </xdr:sp>
      <xdr:sp macro="" textlink="">
        <xdr:nvSpPr>
          <xdr:cNvPr id="4" name="Rectangle: Rounded Corners 3">
            <a:extLst>
              <a:ext uri="{FF2B5EF4-FFF2-40B4-BE49-F238E27FC236}">
                <a16:creationId xmlns:a16="http://schemas.microsoft.com/office/drawing/2014/main" id="{8D8272F8-B999-AE24-0D4A-844994447CEF}"/>
              </a:ext>
            </a:extLst>
          </xdr:cNvPr>
          <xdr:cNvSpPr/>
        </xdr:nvSpPr>
        <xdr:spPr>
          <a:xfrm>
            <a:off x="13475676" y="221693"/>
            <a:ext cx="1193181" cy="238576"/>
          </a:xfrm>
          <a:prstGeom prst="roundRect">
            <a:avLst>
              <a:gd name="adj" fmla="val 36546"/>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Oval 4">
            <a:extLst>
              <a:ext uri="{FF2B5EF4-FFF2-40B4-BE49-F238E27FC236}">
                <a16:creationId xmlns:a16="http://schemas.microsoft.com/office/drawing/2014/main" id="{E8AC59D7-BE8E-65E3-655C-BE3968BFE449}"/>
              </a:ext>
            </a:extLst>
          </xdr:cNvPr>
          <xdr:cNvSpPr/>
        </xdr:nvSpPr>
        <xdr:spPr>
          <a:xfrm>
            <a:off x="14385626" y="244077"/>
            <a:ext cx="170643" cy="169478"/>
          </a:xfrm>
          <a:prstGeom prst="ellipse">
            <a:avLst/>
          </a:prstGeom>
          <a:solidFill>
            <a:srgbClr val="0099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L-Shape 5">
            <a:extLst>
              <a:ext uri="{FF2B5EF4-FFF2-40B4-BE49-F238E27FC236}">
                <a16:creationId xmlns:a16="http://schemas.microsoft.com/office/drawing/2014/main" id="{38688E69-64E7-45F2-F1EF-1FA5BBC5648D}"/>
              </a:ext>
            </a:extLst>
          </xdr:cNvPr>
          <xdr:cNvSpPr/>
        </xdr:nvSpPr>
        <xdr:spPr>
          <a:xfrm rot="13725208">
            <a:off x="14429539" y="294023"/>
            <a:ext cx="75800" cy="76265"/>
          </a:xfrm>
          <a:prstGeom prst="corne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44303</xdr:colOff>
      <xdr:row>0</xdr:row>
      <xdr:rowOff>60914</xdr:rowOff>
    </xdr:from>
    <xdr:to>
      <xdr:col>24</xdr:col>
      <xdr:colOff>217226</xdr:colOff>
      <xdr:row>36</xdr:row>
      <xdr:rowOff>166133</xdr:rowOff>
    </xdr:to>
    <xdr:sp macro="" textlink="">
      <xdr:nvSpPr>
        <xdr:cNvPr id="2" name="Rectangle: Rounded Corners 1">
          <a:extLst>
            <a:ext uri="{FF2B5EF4-FFF2-40B4-BE49-F238E27FC236}">
              <a16:creationId xmlns:a16="http://schemas.microsoft.com/office/drawing/2014/main" id="{781FC19D-7301-BF27-79A2-E98EC494BAAE}"/>
            </a:ext>
          </a:extLst>
        </xdr:cNvPr>
        <xdr:cNvSpPr/>
      </xdr:nvSpPr>
      <xdr:spPr>
        <a:xfrm>
          <a:off x="44303" y="60914"/>
          <a:ext cx="14796599" cy="6912793"/>
        </a:xfrm>
        <a:prstGeom prst="roundRect">
          <a:avLst>
            <a:gd name="adj" fmla="val 3607"/>
          </a:avLst>
        </a:prstGeom>
        <a:solidFill>
          <a:schemeClr val="bg1"/>
        </a:solidFill>
        <a:ln>
          <a:noFill/>
        </a:ln>
        <a:effectLst>
          <a:outerShdw blurRad="215900" dist="38100" dir="2700000" algn="tl" rotWithShape="0">
            <a:prstClr val="black">
              <a:alpha val="2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29911</xdr:colOff>
      <xdr:row>0</xdr:row>
      <xdr:rowOff>1</xdr:rowOff>
    </xdr:from>
    <xdr:to>
      <xdr:col>2</xdr:col>
      <xdr:colOff>458535</xdr:colOff>
      <xdr:row>36</xdr:row>
      <xdr:rowOff>155513</xdr:rowOff>
    </xdr:to>
    <xdr:sp macro="" textlink="">
      <xdr:nvSpPr>
        <xdr:cNvPr id="4" name="Rectangle: Top Corners Rounded 3">
          <a:extLst>
            <a:ext uri="{FF2B5EF4-FFF2-40B4-BE49-F238E27FC236}">
              <a16:creationId xmlns:a16="http://schemas.microsoft.com/office/drawing/2014/main" id="{590D525C-2832-168A-1DA8-97A1A19E9FC8}"/>
            </a:ext>
          </a:extLst>
        </xdr:cNvPr>
        <xdr:cNvSpPr/>
      </xdr:nvSpPr>
      <xdr:spPr>
        <a:xfrm rot="16200000">
          <a:off x="-2574874" y="2604786"/>
          <a:ext cx="6846244" cy="1636673"/>
        </a:xfrm>
        <a:prstGeom prst="round2SameRect">
          <a:avLst>
            <a:gd name="adj1" fmla="val 8411"/>
            <a:gd name="adj2" fmla="val 0"/>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3</xdr:col>
      <xdr:colOff>202407</xdr:colOff>
      <xdr:row>5</xdr:row>
      <xdr:rowOff>63160</xdr:rowOff>
    </xdr:from>
    <xdr:to>
      <xdr:col>6</xdr:col>
      <xdr:colOff>750</xdr:colOff>
      <xdr:row>11</xdr:row>
      <xdr:rowOff>180160</xdr:rowOff>
    </xdr:to>
    <xdr:sp macro="" textlink="">
      <xdr:nvSpPr>
        <xdr:cNvPr id="5" name="Rectangle: Rounded Corners 4">
          <a:extLst>
            <a:ext uri="{FF2B5EF4-FFF2-40B4-BE49-F238E27FC236}">
              <a16:creationId xmlns:a16="http://schemas.microsoft.com/office/drawing/2014/main" id="{40636BC3-E8B0-B9C9-8C75-BFD679E56F27}"/>
            </a:ext>
          </a:extLst>
        </xdr:cNvPr>
        <xdr:cNvSpPr/>
      </xdr:nvSpPr>
      <xdr:spPr>
        <a:xfrm>
          <a:off x="2014480" y="992428"/>
          <a:ext cx="1610416" cy="1232122"/>
        </a:xfrm>
        <a:prstGeom prst="roundRect">
          <a:avLst>
            <a:gd name="adj" fmla="val 13832"/>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290748</xdr:colOff>
      <xdr:row>5</xdr:row>
      <xdr:rowOff>63160</xdr:rowOff>
    </xdr:from>
    <xdr:to>
      <xdr:col>9</xdr:col>
      <xdr:colOff>84830</xdr:colOff>
      <xdr:row>11</xdr:row>
      <xdr:rowOff>180160</xdr:rowOff>
    </xdr:to>
    <xdr:sp macro="" textlink="">
      <xdr:nvSpPr>
        <xdr:cNvPr id="6" name="Rectangle: Rounded Corners 5">
          <a:extLst>
            <a:ext uri="{FF2B5EF4-FFF2-40B4-BE49-F238E27FC236}">
              <a16:creationId xmlns:a16="http://schemas.microsoft.com/office/drawing/2014/main" id="{C3C3D894-CF09-F9A3-0FEF-19114E2C3250}"/>
            </a:ext>
          </a:extLst>
        </xdr:cNvPr>
        <xdr:cNvSpPr/>
      </xdr:nvSpPr>
      <xdr:spPr>
        <a:xfrm>
          <a:off x="3914894" y="992428"/>
          <a:ext cx="1606156" cy="1232122"/>
        </a:xfrm>
        <a:prstGeom prst="roundRect">
          <a:avLst>
            <a:gd name="adj" fmla="val 13832"/>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374828</xdr:colOff>
      <xdr:row>5</xdr:row>
      <xdr:rowOff>63160</xdr:rowOff>
    </xdr:from>
    <xdr:to>
      <xdr:col>12</xdr:col>
      <xdr:colOff>168909</xdr:colOff>
      <xdr:row>11</xdr:row>
      <xdr:rowOff>180160</xdr:rowOff>
    </xdr:to>
    <xdr:sp macro="" textlink="">
      <xdr:nvSpPr>
        <xdr:cNvPr id="7" name="Rectangle: Rounded Corners 6">
          <a:extLst>
            <a:ext uri="{FF2B5EF4-FFF2-40B4-BE49-F238E27FC236}">
              <a16:creationId xmlns:a16="http://schemas.microsoft.com/office/drawing/2014/main" id="{F13CC620-63DB-48F8-AB65-D98A242A8DAE}"/>
            </a:ext>
          </a:extLst>
        </xdr:cNvPr>
        <xdr:cNvSpPr/>
      </xdr:nvSpPr>
      <xdr:spPr>
        <a:xfrm>
          <a:off x="5811048" y="992428"/>
          <a:ext cx="1606154" cy="1232122"/>
        </a:xfrm>
        <a:prstGeom prst="roundRect">
          <a:avLst>
            <a:gd name="adj" fmla="val 13832"/>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458907</xdr:colOff>
      <xdr:row>5</xdr:row>
      <xdr:rowOff>67806</xdr:rowOff>
    </xdr:from>
    <xdr:to>
      <xdr:col>15</xdr:col>
      <xdr:colOff>257251</xdr:colOff>
      <xdr:row>11</xdr:row>
      <xdr:rowOff>180160</xdr:rowOff>
    </xdr:to>
    <xdr:sp macro="" textlink="">
      <xdr:nvSpPr>
        <xdr:cNvPr id="8" name="Rectangle: Rounded Corners 7">
          <a:extLst>
            <a:ext uri="{FF2B5EF4-FFF2-40B4-BE49-F238E27FC236}">
              <a16:creationId xmlns:a16="http://schemas.microsoft.com/office/drawing/2014/main" id="{3A6AD5DF-F72D-C051-47DA-CCD9261021E1}"/>
            </a:ext>
          </a:extLst>
        </xdr:cNvPr>
        <xdr:cNvSpPr/>
      </xdr:nvSpPr>
      <xdr:spPr>
        <a:xfrm>
          <a:off x="7707200" y="997074"/>
          <a:ext cx="1610417" cy="1227476"/>
        </a:xfrm>
        <a:prstGeom prst="roundRect">
          <a:avLst>
            <a:gd name="adj" fmla="val 13832"/>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547249</xdr:colOff>
      <xdr:row>5</xdr:row>
      <xdr:rowOff>67806</xdr:rowOff>
    </xdr:from>
    <xdr:to>
      <xdr:col>18</xdr:col>
      <xdr:colOff>345592</xdr:colOff>
      <xdr:row>11</xdr:row>
      <xdr:rowOff>180160</xdr:rowOff>
    </xdr:to>
    <xdr:sp macro="" textlink="">
      <xdr:nvSpPr>
        <xdr:cNvPr id="9" name="Rectangle: Rounded Corners 8">
          <a:extLst>
            <a:ext uri="{FF2B5EF4-FFF2-40B4-BE49-F238E27FC236}">
              <a16:creationId xmlns:a16="http://schemas.microsoft.com/office/drawing/2014/main" id="{D5F4C338-2AF7-9145-E8B3-E500596E8700}"/>
            </a:ext>
          </a:extLst>
        </xdr:cNvPr>
        <xdr:cNvSpPr/>
      </xdr:nvSpPr>
      <xdr:spPr>
        <a:xfrm>
          <a:off x="9607615" y="997074"/>
          <a:ext cx="1610416" cy="1227476"/>
        </a:xfrm>
        <a:prstGeom prst="roundRect">
          <a:avLst>
            <a:gd name="adj" fmla="val 13832"/>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107156</xdr:colOff>
      <xdr:row>7</xdr:row>
      <xdr:rowOff>143529</xdr:rowOff>
    </xdr:from>
    <xdr:to>
      <xdr:col>5</xdr:col>
      <xdr:colOff>357187</xdr:colOff>
      <xdr:row>9</xdr:row>
      <xdr:rowOff>189061</xdr:rowOff>
    </xdr:to>
    <xdr:sp macro="" textlink="'Pivot Table'!C10">
      <xdr:nvSpPr>
        <xdr:cNvPr id="11" name="TextBox 10">
          <a:extLst>
            <a:ext uri="{FF2B5EF4-FFF2-40B4-BE49-F238E27FC236}">
              <a16:creationId xmlns:a16="http://schemas.microsoft.com/office/drawing/2014/main" id="{5B0580FA-9660-2778-9A0E-BFC02F8E10F5}"/>
            </a:ext>
          </a:extLst>
        </xdr:cNvPr>
        <xdr:cNvSpPr txBox="1"/>
      </xdr:nvSpPr>
      <xdr:spPr>
        <a:xfrm>
          <a:off x="1928812" y="1477029"/>
          <a:ext cx="1464469" cy="426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E3F137E-5455-4A92-96A6-60CD5D5B1B19}" type="TxLink">
            <a:rPr lang="en-US" sz="2800" b="1" i="0" u="none" strike="noStrike">
              <a:solidFill>
                <a:schemeClr val="bg1"/>
              </a:solidFill>
              <a:latin typeface="Kulim Park" pitchFamily="2" charset="0"/>
              <a:ea typeface="+mn-ea"/>
              <a:cs typeface="+mn-cs"/>
            </a:rPr>
            <a:pPr marL="0" indent="0" algn="l"/>
            <a:t> $8,037 </a:t>
          </a:fld>
          <a:endParaRPr lang="en-US" sz="2800" b="1" i="0" u="none" strike="noStrike">
            <a:solidFill>
              <a:schemeClr val="bg1"/>
            </a:solidFill>
            <a:latin typeface="Kulim Park" pitchFamily="2" charset="0"/>
            <a:ea typeface="+mn-ea"/>
            <a:cs typeface="+mn-cs"/>
          </a:endParaRPr>
        </a:p>
      </xdr:txBody>
    </xdr:sp>
    <xdr:clientData/>
  </xdr:twoCellAnchor>
  <xdr:twoCellAnchor>
    <xdr:from>
      <xdr:col>3</xdr:col>
      <xdr:colOff>273844</xdr:colOff>
      <xdr:row>10</xdr:row>
      <xdr:rowOff>44746</xdr:rowOff>
    </xdr:from>
    <xdr:to>
      <xdr:col>5</xdr:col>
      <xdr:colOff>59532</xdr:colOff>
      <xdr:row>11</xdr:row>
      <xdr:rowOff>128090</xdr:rowOff>
    </xdr:to>
    <xdr:sp macro="" textlink="">
      <xdr:nvSpPr>
        <xdr:cNvPr id="12" name="TextBox 11">
          <a:extLst>
            <a:ext uri="{FF2B5EF4-FFF2-40B4-BE49-F238E27FC236}">
              <a16:creationId xmlns:a16="http://schemas.microsoft.com/office/drawing/2014/main" id="{E5B64EF3-214A-A6E2-01B9-446ABCC2C9A0}"/>
            </a:ext>
          </a:extLst>
        </xdr:cNvPr>
        <xdr:cNvSpPr txBox="1"/>
      </xdr:nvSpPr>
      <xdr:spPr>
        <a:xfrm>
          <a:off x="2085917" y="1903283"/>
          <a:ext cx="993737" cy="26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latin typeface="Kulim Park" pitchFamily="2" charset="0"/>
            </a:rPr>
            <a:t>Total</a:t>
          </a:r>
          <a:r>
            <a:rPr lang="en-US" sz="1200" b="1" baseline="0">
              <a:solidFill>
                <a:schemeClr val="bg1"/>
              </a:solidFill>
              <a:latin typeface="Kulim Park" pitchFamily="2" charset="0"/>
            </a:rPr>
            <a:t> Profit</a:t>
          </a:r>
          <a:endParaRPr lang="en-US" sz="1200" b="1">
            <a:solidFill>
              <a:schemeClr val="bg1"/>
            </a:solidFill>
            <a:latin typeface="Kulim Park" pitchFamily="2" charset="0"/>
          </a:endParaRPr>
        </a:p>
      </xdr:txBody>
    </xdr:sp>
    <xdr:clientData/>
  </xdr:twoCellAnchor>
  <xdr:twoCellAnchor>
    <xdr:from>
      <xdr:col>3</xdr:col>
      <xdr:colOff>394393</xdr:colOff>
      <xdr:row>5</xdr:row>
      <xdr:rowOff>184677</xdr:rowOff>
    </xdr:from>
    <xdr:to>
      <xdr:col>4</xdr:col>
      <xdr:colOff>524618</xdr:colOff>
      <xdr:row>6</xdr:row>
      <xdr:rowOff>127101</xdr:rowOff>
    </xdr:to>
    <xdr:sp macro="" textlink="">
      <xdr:nvSpPr>
        <xdr:cNvPr id="13" name="TextBox 12">
          <a:extLst>
            <a:ext uri="{FF2B5EF4-FFF2-40B4-BE49-F238E27FC236}">
              <a16:creationId xmlns:a16="http://schemas.microsoft.com/office/drawing/2014/main" id="{A7198E96-E097-891B-1997-96C10544791A}"/>
            </a:ext>
          </a:extLst>
        </xdr:cNvPr>
        <xdr:cNvSpPr txBox="1"/>
      </xdr:nvSpPr>
      <xdr:spPr>
        <a:xfrm>
          <a:off x="2206466" y="1113945"/>
          <a:ext cx="734250" cy="128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i="0" u="none" strike="noStrike">
              <a:solidFill>
                <a:schemeClr val="bg1"/>
              </a:solidFill>
              <a:latin typeface="Kulim Park" pitchFamily="2" charset="0"/>
              <a:ea typeface="+mn-ea"/>
              <a:cs typeface="+mn-cs"/>
            </a:rPr>
            <a:t>OnTime</a:t>
          </a:r>
        </a:p>
      </xdr:txBody>
    </xdr:sp>
    <xdr:clientData/>
  </xdr:twoCellAnchor>
  <xdr:twoCellAnchor>
    <xdr:from>
      <xdr:col>3</xdr:col>
      <xdr:colOff>339959</xdr:colOff>
      <xdr:row>6</xdr:row>
      <xdr:rowOff>11549</xdr:rowOff>
    </xdr:from>
    <xdr:to>
      <xdr:col>3</xdr:col>
      <xdr:colOff>446484</xdr:colOff>
      <xdr:row>6</xdr:row>
      <xdr:rowOff>114792</xdr:rowOff>
    </xdr:to>
    <xdr:sp macro="" textlink="">
      <xdr:nvSpPr>
        <xdr:cNvPr id="14" name="Oval 13">
          <a:extLst>
            <a:ext uri="{FF2B5EF4-FFF2-40B4-BE49-F238E27FC236}">
              <a16:creationId xmlns:a16="http://schemas.microsoft.com/office/drawing/2014/main" id="{410A87FE-36D8-4163-E9B9-E2D330F6230A}"/>
            </a:ext>
          </a:extLst>
        </xdr:cNvPr>
        <xdr:cNvSpPr/>
      </xdr:nvSpPr>
      <xdr:spPr>
        <a:xfrm>
          <a:off x="2152032" y="1126671"/>
          <a:ext cx="106525" cy="103243"/>
        </a:xfrm>
        <a:prstGeom prst="ellipse">
          <a:avLst/>
        </a:prstGeom>
        <a:solidFill>
          <a:srgbClr val="8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127096</xdr:colOff>
      <xdr:row>3</xdr:row>
      <xdr:rowOff>158175</xdr:rowOff>
    </xdr:from>
    <xdr:to>
      <xdr:col>18</xdr:col>
      <xdr:colOff>452438</xdr:colOff>
      <xdr:row>4</xdr:row>
      <xdr:rowOff>107156</xdr:rowOff>
    </xdr:to>
    <xdr:sp macro="" textlink="'Pivot Table'!A1">
      <xdr:nvSpPr>
        <xdr:cNvPr id="15" name="TextBox 14">
          <a:extLst>
            <a:ext uri="{FF2B5EF4-FFF2-40B4-BE49-F238E27FC236}">
              <a16:creationId xmlns:a16="http://schemas.microsoft.com/office/drawing/2014/main" id="{283B1EDE-B955-6B2B-F129-D97C5D4007E8}"/>
            </a:ext>
          </a:extLst>
        </xdr:cNvPr>
        <xdr:cNvSpPr txBox="1"/>
      </xdr:nvSpPr>
      <xdr:spPr>
        <a:xfrm>
          <a:off x="9842596" y="729675"/>
          <a:ext cx="1539780" cy="139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421C939-ECE9-4820-A3F6-CF8433A4A424}" type="TxLink">
            <a:rPr lang="en-US" sz="950" b="1" i="0" u="none" strike="noStrike">
              <a:solidFill>
                <a:srgbClr val="022213"/>
              </a:solidFill>
              <a:latin typeface="Aptos Narrow"/>
            </a:rPr>
            <a:pPr algn="l"/>
            <a:t>Thursday, October 16, 2025</a:t>
          </a:fld>
          <a:endParaRPr lang="en-US" sz="950" b="1">
            <a:solidFill>
              <a:srgbClr val="022213"/>
            </a:solidFill>
            <a:latin typeface="Kulim Park" pitchFamily="2" charset="0"/>
          </a:endParaRPr>
        </a:p>
      </xdr:txBody>
    </xdr:sp>
    <xdr:clientData/>
  </xdr:twoCellAnchor>
  <xdr:twoCellAnchor>
    <xdr:from>
      <xdr:col>6</xdr:col>
      <xdr:colOff>236363</xdr:colOff>
      <xdr:row>7</xdr:row>
      <xdr:rowOff>165430</xdr:rowOff>
    </xdr:from>
    <xdr:to>
      <xdr:col>8</xdr:col>
      <xdr:colOff>486394</xdr:colOff>
      <xdr:row>10</xdr:row>
      <xdr:rowOff>25109</xdr:rowOff>
    </xdr:to>
    <xdr:sp macro="" textlink="'Pivot Table'!C6">
      <xdr:nvSpPr>
        <xdr:cNvPr id="16" name="TextBox 15">
          <a:extLst>
            <a:ext uri="{FF2B5EF4-FFF2-40B4-BE49-F238E27FC236}">
              <a16:creationId xmlns:a16="http://schemas.microsoft.com/office/drawing/2014/main" id="{CB016AFB-C0C7-566C-CB75-48B15607F09D}"/>
            </a:ext>
          </a:extLst>
        </xdr:cNvPr>
        <xdr:cNvSpPr txBox="1"/>
      </xdr:nvSpPr>
      <xdr:spPr>
        <a:xfrm>
          <a:off x="3860509" y="1466406"/>
          <a:ext cx="1458080" cy="41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FB1C01E-3F51-45A6-9F7C-0AB97450B0D8}" type="TxLink">
            <a:rPr lang="en-US" sz="2800" b="1" i="0" u="none" strike="noStrike">
              <a:solidFill>
                <a:schemeClr val="tx1"/>
              </a:solidFill>
              <a:latin typeface="Kulim Park" pitchFamily="2" charset="0"/>
              <a:ea typeface="+mn-ea"/>
              <a:cs typeface="+mn-cs"/>
            </a:rPr>
            <a:pPr marL="0" indent="0" algn="l"/>
            <a:t> $2,101 </a:t>
          </a:fld>
          <a:endParaRPr lang="en-US" sz="2800" b="1" i="0" u="none" strike="noStrike">
            <a:solidFill>
              <a:schemeClr val="tx1"/>
            </a:solidFill>
            <a:latin typeface="Kulim Park" pitchFamily="2" charset="0"/>
            <a:ea typeface="+mn-ea"/>
            <a:cs typeface="+mn-cs"/>
          </a:endParaRPr>
        </a:p>
      </xdr:txBody>
    </xdr:sp>
    <xdr:clientData/>
  </xdr:twoCellAnchor>
  <xdr:twoCellAnchor>
    <xdr:from>
      <xdr:col>6</xdr:col>
      <xdr:colOff>405445</xdr:colOff>
      <xdr:row>10</xdr:row>
      <xdr:rowOff>44746</xdr:rowOff>
    </xdr:from>
    <xdr:to>
      <xdr:col>8</xdr:col>
      <xdr:colOff>191133</xdr:colOff>
      <xdr:row>11</xdr:row>
      <xdr:rowOff>128090</xdr:rowOff>
    </xdr:to>
    <xdr:sp macro="" textlink="'Pivot Table'!B6">
      <xdr:nvSpPr>
        <xdr:cNvPr id="17" name="TextBox 16">
          <a:extLst>
            <a:ext uri="{FF2B5EF4-FFF2-40B4-BE49-F238E27FC236}">
              <a16:creationId xmlns:a16="http://schemas.microsoft.com/office/drawing/2014/main" id="{F7F3621F-5663-B575-5542-2DC6C84E5FBE}"/>
            </a:ext>
          </a:extLst>
        </xdr:cNvPr>
        <xdr:cNvSpPr txBox="1"/>
      </xdr:nvSpPr>
      <xdr:spPr>
        <a:xfrm>
          <a:off x="4029591" y="1903283"/>
          <a:ext cx="993737" cy="26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D4B7E9D-BADC-436D-98C4-5097BC759157}" type="TxLink">
            <a:rPr lang="en-US" sz="1400" b="1">
              <a:solidFill>
                <a:schemeClr val="tx1"/>
              </a:solidFill>
              <a:latin typeface="Kulim Park" pitchFamily="2" charset="0"/>
              <a:ea typeface="+mn-ea"/>
              <a:cs typeface="+mn-cs"/>
            </a:rPr>
            <a:pPr marL="0" indent="0" algn="l"/>
            <a:t>East</a:t>
          </a:fld>
          <a:endParaRPr lang="en-US" sz="1400" b="1">
            <a:solidFill>
              <a:schemeClr val="tx1"/>
            </a:solidFill>
            <a:latin typeface="Kulim Park" pitchFamily="2" charset="0"/>
            <a:ea typeface="+mn-ea"/>
            <a:cs typeface="+mn-cs"/>
          </a:endParaRPr>
        </a:p>
      </xdr:txBody>
    </xdr:sp>
    <xdr:clientData/>
  </xdr:twoCellAnchor>
  <xdr:twoCellAnchor>
    <xdr:from>
      <xdr:col>6</xdr:col>
      <xdr:colOff>474845</xdr:colOff>
      <xdr:row>5</xdr:row>
      <xdr:rowOff>184677</xdr:rowOff>
    </xdr:from>
    <xdr:to>
      <xdr:col>8</xdr:col>
      <xdr:colOff>1047</xdr:colOff>
      <xdr:row>6</xdr:row>
      <xdr:rowOff>127101</xdr:rowOff>
    </xdr:to>
    <xdr:sp macro="" textlink="">
      <xdr:nvSpPr>
        <xdr:cNvPr id="18" name="TextBox 17">
          <a:extLst>
            <a:ext uri="{FF2B5EF4-FFF2-40B4-BE49-F238E27FC236}">
              <a16:creationId xmlns:a16="http://schemas.microsoft.com/office/drawing/2014/main" id="{A6949F4F-3A85-9A8C-1604-63C884CAF4CE}"/>
            </a:ext>
          </a:extLst>
        </xdr:cNvPr>
        <xdr:cNvSpPr txBox="1"/>
      </xdr:nvSpPr>
      <xdr:spPr>
        <a:xfrm>
          <a:off x="4098991" y="1113945"/>
          <a:ext cx="734251" cy="128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latin typeface="Kulim Park" pitchFamily="2" charset="0"/>
            </a:rPr>
            <a:t>OnTime</a:t>
          </a:r>
        </a:p>
      </xdr:txBody>
    </xdr:sp>
    <xdr:clientData/>
  </xdr:twoCellAnchor>
  <xdr:twoCellAnchor>
    <xdr:from>
      <xdr:col>6</xdr:col>
      <xdr:colOff>427079</xdr:colOff>
      <xdr:row>6</xdr:row>
      <xdr:rowOff>11549</xdr:rowOff>
    </xdr:from>
    <xdr:to>
      <xdr:col>6</xdr:col>
      <xdr:colOff>533604</xdr:colOff>
      <xdr:row>6</xdr:row>
      <xdr:rowOff>114792</xdr:rowOff>
    </xdr:to>
    <xdr:sp macro="" textlink="">
      <xdr:nvSpPr>
        <xdr:cNvPr id="19" name="Oval 18">
          <a:extLst>
            <a:ext uri="{FF2B5EF4-FFF2-40B4-BE49-F238E27FC236}">
              <a16:creationId xmlns:a16="http://schemas.microsoft.com/office/drawing/2014/main" id="{89A43B1D-0E13-9B91-19DA-D49530306D60}"/>
            </a:ext>
          </a:extLst>
        </xdr:cNvPr>
        <xdr:cNvSpPr/>
      </xdr:nvSpPr>
      <xdr:spPr>
        <a:xfrm>
          <a:off x="4051225" y="1126671"/>
          <a:ext cx="106525" cy="103243"/>
        </a:xfrm>
        <a:prstGeom prst="ellipse">
          <a:avLst/>
        </a:prstGeom>
        <a:solidFill>
          <a:srgbClr val="8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353957</xdr:colOff>
      <xdr:row>7</xdr:row>
      <xdr:rowOff>166578</xdr:rowOff>
    </xdr:from>
    <xdr:to>
      <xdr:col>11</xdr:col>
      <xdr:colOff>603988</xdr:colOff>
      <xdr:row>10</xdr:row>
      <xdr:rowOff>23962</xdr:rowOff>
    </xdr:to>
    <xdr:sp macro="" textlink="'Pivot Table'!C7">
      <xdr:nvSpPr>
        <xdr:cNvPr id="23" name="TextBox 22">
          <a:extLst>
            <a:ext uri="{FF2B5EF4-FFF2-40B4-BE49-F238E27FC236}">
              <a16:creationId xmlns:a16="http://schemas.microsoft.com/office/drawing/2014/main" id="{288BD062-5F30-474B-17AC-E5F10D47929B}"/>
            </a:ext>
          </a:extLst>
        </xdr:cNvPr>
        <xdr:cNvSpPr txBox="1"/>
      </xdr:nvSpPr>
      <xdr:spPr>
        <a:xfrm>
          <a:off x="5790177" y="1467554"/>
          <a:ext cx="1458079" cy="41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7C63A7-E4B9-4822-AFC5-385A38B1AFBD}" type="TxLink">
            <a:rPr lang="en-US" sz="2800" b="1" i="0" u="none" strike="noStrike">
              <a:solidFill>
                <a:schemeClr val="tx1"/>
              </a:solidFill>
              <a:latin typeface="Kulim Park" pitchFamily="2" charset="0"/>
              <a:ea typeface="+mn-ea"/>
              <a:cs typeface="+mn-cs"/>
            </a:rPr>
            <a:pPr marL="0" indent="0" algn="l"/>
            <a:t> $2,145 </a:t>
          </a:fld>
          <a:endParaRPr lang="en-US" sz="2800" b="1" i="0" u="none" strike="noStrike">
            <a:solidFill>
              <a:schemeClr val="tx1"/>
            </a:solidFill>
            <a:latin typeface="Kulim Park" pitchFamily="2" charset="0"/>
            <a:ea typeface="+mn-ea"/>
            <a:cs typeface="+mn-cs"/>
          </a:endParaRPr>
        </a:p>
      </xdr:txBody>
    </xdr:sp>
    <xdr:clientData/>
  </xdr:twoCellAnchor>
  <xdr:twoCellAnchor>
    <xdr:from>
      <xdr:col>9</xdr:col>
      <xdr:colOff>523226</xdr:colOff>
      <xdr:row>10</xdr:row>
      <xdr:rowOff>56248</xdr:rowOff>
    </xdr:from>
    <xdr:to>
      <xdr:col>11</xdr:col>
      <xdr:colOff>408559</xdr:colOff>
      <xdr:row>11</xdr:row>
      <xdr:rowOff>128090</xdr:rowOff>
    </xdr:to>
    <xdr:sp macro="" textlink="'Pivot Table'!B7">
      <xdr:nvSpPr>
        <xdr:cNvPr id="24" name="TextBox 23">
          <a:extLst>
            <a:ext uri="{FF2B5EF4-FFF2-40B4-BE49-F238E27FC236}">
              <a16:creationId xmlns:a16="http://schemas.microsoft.com/office/drawing/2014/main" id="{38F0D135-EA33-D78B-7AD4-224EC34885E6}"/>
            </a:ext>
          </a:extLst>
        </xdr:cNvPr>
        <xdr:cNvSpPr txBox="1"/>
      </xdr:nvSpPr>
      <xdr:spPr>
        <a:xfrm>
          <a:off x="5959446" y="1914785"/>
          <a:ext cx="1093381" cy="257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700DC18-16BD-4629-8413-869BAC9E154A}" type="TxLink">
            <a:rPr lang="en-US" sz="1400" b="1">
              <a:solidFill>
                <a:schemeClr val="tx1"/>
              </a:solidFill>
              <a:latin typeface="Kulim Park" pitchFamily="2" charset="0"/>
              <a:ea typeface="+mn-ea"/>
              <a:cs typeface="+mn-cs"/>
            </a:rPr>
            <a:pPr marL="0" indent="0" algn="l"/>
            <a:t>North</a:t>
          </a:fld>
          <a:endParaRPr lang="en-US" sz="1400" b="1">
            <a:solidFill>
              <a:schemeClr val="tx1"/>
            </a:solidFill>
            <a:latin typeface="Kulim Park" pitchFamily="2" charset="0"/>
            <a:ea typeface="+mn-ea"/>
            <a:cs typeface="+mn-cs"/>
          </a:endParaRPr>
        </a:p>
      </xdr:txBody>
    </xdr:sp>
    <xdr:clientData/>
  </xdr:twoCellAnchor>
  <xdr:twoCellAnchor>
    <xdr:from>
      <xdr:col>9</xdr:col>
      <xdr:colOff>555297</xdr:colOff>
      <xdr:row>5</xdr:row>
      <xdr:rowOff>184677</xdr:rowOff>
    </xdr:from>
    <xdr:to>
      <xdr:col>11</xdr:col>
      <xdr:colOff>81499</xdr:colOff>
      <xdr:row>6</xdr:row>
      <xdr:rowOff>127101</xdr:rowOff>
    </xdr:to>
    <xdr:sp macro="" textlink="">
      <xdr:nvSpPr>
        <xdr:cNvPr id="25" name="TextBox 24">
          <a:extLst>
            <a:ext uri="{FF2B5EF4-FFF2-40B4-BE49-F238E27FC236}">
              <a16:creationId xmlns:a16="http://schemas.microsoft.com/office/drawing/2014/main" id="{FD398263-BD95-B815-6A4D-6BFB9C8762FA}"/>
            </a:ext>
          </a:extLst>
        </xdr:cNvPr>
        <xdr:cNvSpPr txBox="1"/>
      </xdr:nvSpPr>
      <xdr:spPr>
        <a:xfrm>
          <a:off x="5991517" y="1113945"/>
          <a:ext cx="734250" cy="128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1"/>
              </a:solidFill>
              <a:latin typeface="Kulim Park" pitchFamily="2" charset="0"/>
              <a:ea typeface="+mn-ea"/>
              <a:cs typeface="+mn-cs"/>
            </a:rPr>
            <a:t>OnTime</a:t>
          </a:r>
        </a:p>
      </xdr:txBody>
    </xdr:sp>
    <xdr:clientData/>
  </xdr:twoCellAnchor>
  <xdr:twoCellAnchor>
    <xdr:from>
      <xdr:col>9</xdr:col>
      <xdr:colOff>514198</xdr:colOff>
      <xdr:row>6</xdr:row>
      <xdr:rowOff>11549</xdr:rowOff>
    </xdr:from>
    <xdr:to>
      <xdr:col>10</xdr:col>
      <xdr:colOff>9241</xdr:colOff>
      <xdr:row>6</xdr:row>
      <xdr:rowOff>114792</xdr:rowOff>
    </xdr:to>
    <xdr:sp macro="" textlink="">
      <xdr:nvSpPr>
        <xdr:cNvPr id="26" name="Oval 25">
          <a:extLst>
            <a:ext uri="{FF2B5EF4-FFF2-40B4-BE49-F238E27FC236}">
              <a16:creationId xmlns:a16="http://schemas.microsoft.com/office/drawing/2014/main" id="{2151E914-5367-4871-5CE4-EAABAFCAC265}"/>
            </a:ext>
          </a:extLst>
        </xdr:cNvPr>
        <xdr:cNvSpPr/>
      </xdr:nvSpPr>
      <xdr:spPr>
        <a:xfrm>
          <a:off x="5950418" y="1126671"/>
          <a:ext cx="99067" cy="103243"/>
        </a:xfrm>
        <a:prstGeom prst="ellipse">
          <a:avLst/>
        </a:prstGeom>
        <a:solidFill>
          <a:srgbClr val="8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12</xdr:col>
      <xdr:colOff>365714</xdr:colOff>
      <xdr:row>7</xdr:row>
      <xdr:rowOff>166578</xdr:rowOff>
    </xdr:from>
    <xdr:to>
      <xdr:col>15</xdr:col>
      <xdr:colOff>4264</xdr:colOff>
      <xdr:row>10</xdr:row>
      <xdr:rowOff>23962</xdr:rowOff>
    </xdr:to>
    <xdr:sp macro="" textlink="'Pivot Table'!C8">
      <xdr:nvSpPr>
        <xdr:cNvPr id="27" name="TextBox 26">
          <a:extLst>
            <a:ext uri="{FF2B5EF4-FFF2-40B4-BE49-F238E27FC236}">
              <a16:creationId xmlns:a16="http://schemas.microsoft.com/office/drawing/2014/main" id="{40F9773B-35F9-318D-2EAF-44473F50A6A3}"/>
            </a:ext>
          </a:extLst>
        </xdr:cNvPr>
        <xdr:cNvSpPr txBox="1"/>
      </xdr:nvSpPr>
      <xdr:spPr>
        <a:xfrm>
          <a:off x="7614007" y="1467554"/>
          <a:ext cx="1450623" cy="41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50ADB9F-66DE-4C33-A572-0D53F47E2C2C}" type="TxLink">
            <a:rPr lang="en-US" sz="2800" b="1" i="0" u="none" strike="noStrike">
              <a:solidFill>
                <a:schemeClr val="tx1"/>
              </a:solidFill>
              <a:latin typeface="Kulim Park" pitchFamily="2" charset="0"/>
              <a:ea typeface="+mn-ea"/>
              <a:cs typeface="+mn-cs"/>
            </a:rPr>
            <a:pPr marL="0" indent="0" algn="l"/>
            <a:t> $2,167 </a:t>
          </a:fld>
          <a:endParaRPr lang="en-US" sz="2800" b="1" i="0" u="none" strike="noStrike">
            <a:solidFill>
              <a:schemeClr val="tx1"/>
            </a:solidFill>
            <a:latin typeface="Kulim Park" pitchFamily="2" charset="0"/>
            <a:ea typeface="+mn-ea"/>
            <a:cs typeface="+mn-cs"/>
          </a:endParaRPr>
        </a:p>
      </xdr:txBody>
    </xdr:sp>
    <xdr:clientData/>
  </xdr:twoCellAnchor>
  <xdr:twoCellAnchor>
    <xdr:from>
      <xdr:col>12</xdr:col>
      <xdr:colOff>551267</xdr:colOff>
      <xdr:row>10</xdr:row>
      <xdr:rowOff>31726</xdr:rowOff>
    </xdr:from>
    <xdr:to>
      <xdr:col>14</xdr:col>
      <xdr:colOff>477328</xdr:colOff>
      <xdr:row>11</xdr:row>
      <xdr:rowOff>128090</xdr:rowOff>
    </xdr:to>
    <xdr:sp macro="" textlink="'Pivot Table'!B8">
      <xdr:nvSpPr>
        <xdr:cNvPr id="28" name="TextBox 27">
          <a:extLst>
            <a:ext uri="{FF2B5EF4-FFF2-40B4-BE49-F238E27FC236}">
              <a16:creationId xmlns:a16="http://schemas.microsoft.com/office/drawing/2014/main" id="{52680DA2-C408-F518-B682-BF60FF05951A}"/>
            </a:ext>
          </a:extLst>
        </xdr:cNvPr>
        <xdr:cNvSpPr txBox="1"/>
      </xdr:nvSpPr>
      <xdr:spPr>
        <a:xfrm>
          <a:off x="7799560" y="1890263"/>
          <a:ext cx="1134109" cy="28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3E660C7-F14B-461F-A0F6-8DC9EFCB304F}" type="TxLink">
            <a:rPr lang="en-US" sz="1400" b="1">
              <a:solidFill>
                <a:schemeClr val="tx1"/>
              </a:solidFill>
              <a:latin typeface="Kulim Park" pitchFamily="2" charset="0"/>
              <a:ea typeface="+mn-ea"/>
              <a:cs typeface="+mn-cs"/>
            </a:rPr>
            <a:pPr marL="0" indent="0" algn="l"/>
            <a:t>South</a:t>
          </a:fld>
          <a:endParaRPr lang="en-US" sz="1400" b="1">
            <a:solidFill>
              <a:schemeClr val="tx1"/>
            </a:solidFill>
            <a:latin typeface="Kulim Park" pitchFamily="2" charset="0"/>
            <a:ea typeface="+mn-ea"/>
            <a:cs typeface="+mn-cs"/>
          </a:endParaRPr>
        </a:p>
      </xdr:txBody>
    </xdr:sp>
    <xdr:clientData/>
  </xdr:twoCellAnchor>
  <xdr:twoCellAnchor>
    <xdr:from>
      <xdr:col>13</xdr:col>
      <xdr:colOff>31725</xdr:colOff>
      <xdr:row>5</xdr:row>
      <xdr:rowOff>184677</xdr:rowOff>
    </xdr:from>
    <xdr:to>
      <xdr:col>14</xdr:col>
      <xdr:colOff>161950</xdr:colOff>
      <xdr:row>6</xdr:row>
      <xdr:rowOff>127101</xdr:rowOff>
    </xdr:to>
    <xdr:sp macro="" textlink="">
      <xdr:nvSpPr>
        <xdr:cNvPr id="29" name="TextBox 28">
          <a:extLst>
            <a:ext uri="{FF2B5EF4-FFF2-40B4-BE49-F238E27FC236}">
              <a16:creationId xmlns:a16="http://schemas.microsoft.com/office/drawing/2014/main" id="{5C131387-E7F3-1A99-701A-B9728C9DC293}"/>
            </a:ext>
          </a:extLst>
        </xdr:cNvPr>
        <xdr:cNvSpPr txBox="1"/>
      </xdr:nvSpPr>
      <xdr:spPr>
        <a:xfrm>
          <a:off x="8025491" y="1149234"/>
          <a:ext cx="745130" cy="13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1"/>
              </a:solidFill>
              <a:latin typeface="Kulim Park" pitchFamily="2" charset="0"/>
              <a:ea typeface="+mn-ea"/>
              <a:cs typeface="+mn-cs"/>
            </a:rPr>
            <a:t>OnTime</a:t>
          </a:r>
        </a:p>
      </xdr:txBody>
    </xdr:sp>
    <xdr:clientData/>
  </xdr:twoCellAnchor>
  <xdr:twoCellAnchor>
    <xdr:from>
      <xdr:col>12</xdr:col>
      <xdr:colOff>593861</xdr:colOff>
      <xdr:row>6</xdr:row>
      <xdr:rowOff>11549</xdr:rowOff>
    </xdr:from>
    <xdr:to>
      <xdr:col>13</xdr:col>
      <xdr:colOff>88905</xdr:colOff>
      <xdr:row>6</xdr:row>
      <xdr:rowOff>114792</xdr:rowOff>
    </xdr:to>
    <xdr:sp macro="" textlink="">
      <xdr:nvSpPr>
        <xdr:cNvPr id="30" name="Oval 29">
          <a:extLst>
            <a:ext uri="{FF2B5EF4-FFF2-40B4-BE49-F238E27FC236}">
              <a16:creationId xmlns:a16="http://schemas.microsoft.com/office/drawing/2014/main" id="{9155B812-D7C6-0537-4A9C-A57A13EAB995}"/>
            </a:ext>
          </a:extLst>
        </xdr:cNvPr>
        <xdr:cNvSpPr/>
      </xdr:nvSpPr>
      <xdr:spPr>
        <a:xfrm>
          <a:off x="7842154" y="1126671"/>
          <a:ext cx="99068" cy="103243"/>
        </a:xfrm>
        <a:prstGeom prst="ellipse">
          <a:avLst/>
        </a:prstGeom>
        <a:solidFill>
          <a:srgbClr val="8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448031</xdr:colOff>
      <xdr:row>7</xdr:row>
      <xdr:rowOff>166578</xdr:rowOff>
    </xdr:from>
    <xdr:to>
      <xdr:col>18</xdr:col>
      <xdr:colOff>86580</xdr:colOff>
      <xdr:row>10</xdr:row>
      <xdr:rowOff>23962</xdr:rowOff>
    </xdr:to>
    <xdr:sp macro="" textlink="'Pivot Table'!C9">
      <xdr:nvSpPr>
        <xdr:cNvPr id="31" name="TextBox 30">
          <a:extLst>
            <a:ext uri="{FF2B5EF4-FFF2-40B4-BE49-F238E27FC236}">
              <a16:creationId xmlns:a16="http://schemas.microsoft.com/office/drawing/2014/main" id="{4E139096-E5F5-4D10-A1C7-6CA611F1DA62}"/>
            </a:ext>
          </a:extLst>
        </xdr:cNvPr>
        <xdr:cNvSpPr txBox="1"/>
      </xdr:nvSpPr>
      <xdr:spPr>
        <a:xfrm>
          <a:off x="9508397" y="1467554"/>
          <a:ext cx="1450622" cy="41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7CFDF84-F88B-4734-9735-0299F29A20BE}" type="TxLink">
            <a:rPr lang="en-US" sz="2800" b="1" i="0" u="none" strike="noStrike">
              <a:solidFill>
                <a:schemeClr val="tx1"/>
              </a:solidFill>
              <a:latin typeface="Kulim Park" pitchFamily="2" charset="0"/>
              <a:ea typeface="+mn-ea"/>
              <a:cs typeface="+mn-cs"/>
            </a:rPr>
            <a:pPr marL="0" indent="0" algn="l"/>
            <a:t> $1,624 </a:t>
          </a:fld>
          <a:endParaRPr lang="en-US" sz="2800" b="1" i="0" u="none" strike="noStrike">
            <a:solidFill>
              <a:schemeClr val="tx1"/>
            </a:solidFill>
            <a:latin typeface="Kulim Park" pitchFamily="2" charset="0"/>
            <a:ea typeface="+mn-ea"/>
            <a:cs typeface="+mn-cs"/>
          </a:endParaRPr>
        </a:p>
      </xdr:txBody>
    </xdr:sp>
    <xdr:clientData/>
  </xdr:twoCellAnchor>
  <xdr:twoCellAnchor>
    <xdr:from>
      <xdr:col>16</xdr:col>
      <xdr:colOff>26305</xdr:colOff>
      <xdr:row>10</xdr:row>
      <xdr:rowOff>44746</xdr:rowOff>
    </xdr:from>
    <xdr:to>
      <xdr:col>17</xdr:col>
      <xdr:colOff>423475</xdr:colOff>
      <xdr:row>11</xdr:row>
      <xdr:rowOff>128090</xdr:rowOff>
    </xdr:to>
    <xdr:sp macro="" textlink="'Pivot Table'!B9">
      <xdr:nvSpPr>
        <xdr:cNvPr id="32" name="TextBox 31">
          <a:extLst>
            <a:ext uri="{FF2B5EF4-FFF2-40B4-BE49-F238E27FC236}">
              <a16:creationId xmlns:a16="http://schemas.microsoft.com/office/drawing/2014/main" id="{5C7E3BB6-88CF-4FF3-744C-B93F48B700FF}"/>
            </a:ext>
          </a:extLst>
        </xdr:cNvPr>
        <xdr:cNvSpPr txBox="1"/>
      </xdr:nvSpPr>
      <xdr:spPr>
        <a:xfrm>
          <a:off x="9690695" y="1903283"/>
          <a:ext cx="1001195" cy="26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64D7C06-56AC-46D2-A2E1-59A0D7E200AD}" type="TxLink">
            <a:rPr lang="en-US" sz="1400" b="1">
              <a:solidFill>
                <a:schemeClr val="tx1"/>
              </a:solidFill>
              <a:latin typeface="Kulim Park" pitchFamily="2" charset="0"/>
              <a:ea typeface="+mn-ea"/>
              <a:cs typeface="+mn-cs"/>
            </a:rPr>
            <a:pPr marL="0" indent="0" algn="l"/>
            <a:t>West</a:t>
          </a:fld>
          <a:endParaRPr lang="en-US" sz="1400" b="1">
            <a:solidFill>
              <a:schemeClr val="tx1"/>
            </a:solidFill>
            <a:latin typeface="Kulim Park" pitchFamily="2" charset="0"/>
            <a:ea typeface="+mn-ea"/>
            <a:cs typeface="+mn-cs"/>
          </a:endParaRPr>
        </a:p>
      </xdr:txBody>
    </xdr:sp>
    <xdr:clientData/>
  </xdr:twoCellAnchor>
  <xdr:twoCellAnchor>
    <xdr:from>
      <xdr:col>16</xdr:col>
      <xdr:colOff>112175</xdr:colOff>
      <xdr:row>5</xdr:row>
      <xdr:rowOff>184677</xdr:rowOff>
    </xdr:from>
    <xdr:to>
      <xdr:col>17</xdr:col>
      <xdr:colOff>242401</xdr:colOff>
      <xdr:row>6</xdr:row>
      <xdr:rowOff>127101</xdr:rowOff>
    </xdr:to>
    <xdr:sp macro="" textlink="">
      <xdr:nvSpPr>
        <xdr:cNvPr id="33" name="TextBox 32">
          <a:extLst>
            <a:ext uri="{FF2B5EF4-FFF2-40B4-BE49-F238E27FC236}">
              <a16:creationId xmlns:a16="http://schemas.microsoft.com/office/drawing/2014/main" id="{5207B0D0-1D29-F92E-36AD-5BDE4594E50E}"/>
            </a:ext>
          </a:extLst>
        </xdr:cNvPr>
        <xdr:cNvSpPr txBox="1"/>
      </xdr:nvSpPr>
      <xdr:spPr>
        <a:xfrm>
          <a:off x="9776565" y="1113945"/>
          <a:ext cx="734251" cy="128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1"/>
              </a:solidFill>
              <a:latin typeface="Kulim Park" pitchFamily="2" charset="0"/>
              <a:ea typeface="+mn-ea"/>
              <a:cs typeface="+mn-cs"/>
            </a:rPr>
            <a:t>OnTime</a:t>
          </a:r>
        </a:p>
      </xdr:txBody>
    </xdr:sp>
    <xdr:clientData/>
  </xdr:twoCellAnchor>
  <xdr:twoCellAnchor>
    <xdr:from>
      <xdr:col>16</xdr:col>
      <xdr:colOff>69501</xdr:colOff>
      <xdr:row>6</xdr:row>
      <xdr:rowOff>10402</xdr:rowOff>
    </xdr:from>
    <xdr:to>
      <xdr:col>16</xdr:col>
      <xdr:colOff>176026</xdr:colOff>
      <xdr:row>6</xdr:row>
      <xdr:rowOff>115939</xdr:rowOff>
    </xdr:to>
    <xdr:sp macro="" textlink="">
      <xdr:nvSpPr>
        <xdr:cNvPr id="34" name="Oval 33">
          <a:extLst>
            <a:ext uri="{FF2B5EF4-FFF2-40B4-BE49-F238E27FC236}">
              <a16:creationId xmlns:a16="http://schemas.microsoft.com/office/drawing/2014/main" id="{87BD5DFA-0C4E-06F0-FDBF-7B4536EF6FE2}"/>
            </a:ext>
          </a:extLst>
        </xdr:cNvPr>
        <xdr:cNvSpPr/>
      </xdr:nvSpPr>
      <xdr:spPr>
        <a:xfrm>
          <a:off x="9733891" y="1125524"/>
          <a:ext cx="106525" cy="105537"/>
        </a:xfrm>
        <a:prstGeom prst="ellipse">
          <a:avLst/>
        </a:prstGeom>
        <a:solidFill>
          <a:srgbClr val="8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525754</xdr:colOff>
      <xdr:row>0</xdr:row>
      <xdr:rowOff>107205</xdr:rowOff>
    </xdr:from>
    <xdr:to>
      <xdr:col>7</xdr:col>
      <xdr:colOff>277311</xdr:colOff>
      <xdr:row>2</xdr:row>
      <xdr:rowOff>150443</xdr:rowOff>
    </xdr:to>
    <xdr:sp macro="" textlink="">
      <xdr:nvSpPr>
        <xdr:cNvPr id="35" name="TextBox 34">
          <a:extLst>
            <a:ext uri="{FF2B5EF4-FFF2-40B4-BE49-F238E27FC236}">
              <a16:creationId xmlns:a16="http://schemas.microsoft.com/office/drawing/2014/main" id="{3745A1C3-BBF9-338D-746C-640EDE4A2898}"/>
            </a:ext>
          </a:extLst>
        </xdr:cNvPr>
        <xdr:cNvSpPr txBox="1"/>
      </xdr:nvSpPr>
      <xdr:spPr>
        <a:xfrm>
          <a:off x="1755564" y="107205"/>
          <a:ext cx="2826082" cy="429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3200" b="1" i="0" u="none" strike="noStrike">
              <a:solidFill>
                <a:srgbClr val="022213"/>
              </a:solidFill>
              <a:latin typeface="Roboto Black" panose="02000000000000000000" pitchFamily="2" charset="0"/>
              <a:ea typeface="Roboto Black" panose="02000000000000000000" pitchFamily="2" charset="0"/>
              <a:cs typeface="Times New Roman" panose="02020603050405020304" pitchFamily="18" charset="0"/>
            </a:rPr>
            <a:t>Sales Tracker</a:t>
          </a:r>
        </a:p>
      </xdr:txBody>
    </xdr:sp>
    <xdr:clientData/>
  </xdr:twoCellAnchor>
  <xdr:twoCellAnchor>
    <xdr:from>
      <xdr:col>2</xdr:col>
      <xdr:colOff>470800</xdr:colOff>
      <xdr:row>3</xdr:row>
      <xdr:rowOff>1434</xdr:rowOff>
    </xdr:from>
    <xdr:to>
      <xdr:col>24</xdr:col>
      <xdr:colOff>243663</xdr:colOff>
      <xdr:row>3</xdr:row>
      <xdr:rowOff>38898</xdr:rowOff>
    </xdr:to>
    <xdr:cxnSp macro="">
      <xdr:nvCxnSpPr>
        <xdr:cNvPr id="37" name="Straight Connector 36">
          <a:extLst>
            <a:ext uri="{FF2B5EF4-FFF2-40B4-BE49-F238E27FC236}">
              <a16:creationId xmlns:a16="http://schemas.microsoft.com/office/drawing/2014/main" id="{1E74138F-ECE2-8368-CE36-14D895D48494}"/>
            </a:ext>
          </a:extLst>
        </xdr:cNvPr>
        <xdr:cNvCxnSpPr/>
      </xdr:nvCxnSpPr>
      <xdr:spPr>
        <a:xfrm>
          <a:off x="1678849" y="558995"/>
          <a:ext cx="13061399" cy="37464"/>
        </a:xfrm>
        <a:prstGeom prst="line">
          <a:avLst/>
        </a:prstGeom>
        <a:no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3</xdr:col>
      <xdr:colOff>186791</xdr:colOff>
      <xdr:row>12</xdr:row>
      <xdr:rowOff>141698</xdr:rowOff>
    </xdr:from>
    <xdr:to>
      <xdr:col>7</xdr:col>
      <xdr:colOff>1</xdr:colOff>
      <xdr:row>17</xdr:row>
      <xdr:rowOff>94075</xdr:rowOff>
    </xdr:to>
    <xdr:sp macro="" textlink="">
      <xdr:nvSpPr>
        <xdr:cNvPr id="40" name="Rectangle: Rounded Corners 39">
          <a:extLst>
            <a:ext uri="{FF2B5EF4-FFF2-40B4-BE49-F238E27FC236}">
              <a16:creationId xmlns:a16="http://schemas.microsoft.com/office/drawing/2014/main" id="{2D0C3D24-BDC4-0C76-046C-EA92ED87D42E}"/>
            </a:ext>
          </a:extLst>
        </xdr:cNvPr>
        <xdr:cNvSpPr/>
      </xdr:nvSpPr>
      <xdr:spPr>
        <a:xfrm>
          <a:off x="2023755" y="2474351"/>
          <a:ext cx="2262496" cy="924316"/>
        </a:xfrm>
        <a:prstGeom prst="roundRect">
          <a:avLst>
            <a:gd name="adj" fmla="val 12781"/>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430357</xdr:colOff>
      <xdr:row>13</xdr:row>
      <xdr:rowOff>78841</xdr:rowOff>
    </xdr:from>
    <xdr:to>
      <xdr:col>4</xdr:col>
      <xdr:colOff>560582</xdr:colOff>
      <xdr:row>14</xdr:row>
      <xdr:rowOff>21265</xdr:rowOff>
    </xdr:to>
    <xdr:sp macro="" textlink="">
      <xdr:nvSpPr>
        <xdr:cNvPr id="41" name="TextBox 40">
          <a:extLst>
            <a:ext uri="{FF2B5EF4-FFF2-40B4-BE49-F238E27FC236}">
              <a16:creationId xmlns:a16="http://schemas.microsoft.com/office/drawing/2014/main" id="{4A59E5B5-44E0-A3C6-1A51-8E1E411DDF34}"/>
            </a:ext>
          </a:extLst>
        </xdr:cNvPr>
        <xdr:cNvSpPr txBox="1"/>
      </xdr:nvSpPr>
      <xdr:spPr>
        <a:xfrm>
          <a:off x="2257828" y="2526544"/>
          <a:ext cx="739382" cy="130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a:solidFill>
                <a:schemeClr val="tx1"/>
              </a:solidFill>
              <a:latin typeface="Kulim Park" pitchFamily="2" charset="0"/>
              <a:ea typeface="+mn-ea"/>
              <a:cs typeface="+mn-cs"/>
            </a:rPr>
            <a:t>OnTime</a:t>
          </a:r>
        </a:p>
      </xdr:txBody>
    </xdr:sp>
    <xdr:clientData/>
  </xdr:twoCellAnchor>
  <xdr:twoCellAnchor>
    <xdr:from>
      <xdr:col>3</xdr:col>
      <xdr:colOff>375238</xdr:colOff>
      <xdr:row>13</xdr:row>
      <xdr:rowOff>80957</xdr:rowOff>
    </xdr:from>
    <xdr:to>
      <xdr:col>3</xdr:col>
      <xdr:colOff>481763</xdr:colOff>
      <xdr:row>13</xdr:row>
      <xdr:rowOff>186494</xdr:rowOff>
    </xdr:to>
    <xdr:sp macro="" textlink="">
      <xdr:nvSpPr>
        <xdr:cNvPr id="42" name="Oval 41">
          <a:extLst>
            <a:ext uri="{FF2B5EF4-FFF2-40B4-BE49-F238E27FC236}">
              <a16:creationId xmlns:a16="http://schemas.microsoft.com/office/drawing/2014/main" id="{8859C979-D58B-104E-D0BF-F6594B51A235}"/>
            </a:ext>
          </a:extLst>
        </xdr:cNvPr>
        <xdr:cNvSpPr/>
      </xdr:nvSpPr>
      <xdr:spPr>
        <a:xfrm>
          <a:off x="2209682" y="2526883"/>
          <a:ext cx="106525" cy="105537"/>
        </a:xfrm>
        <a:prstGeom prst="ellipse">
          <a:avLst/>
        </a:prstGeom>
        <a:solidFill>
          <a:srgbClr val="8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353955</xdr:colOff>
      <xdr:row>14</xdr:row>
      <xdr:rowOff>95484</xdr:rowOff>
    </xdr:from>
    <xdr:to>
      <xdr:col>4</xdr:col>
      <xdr:colOff>376296</xdr:colOff>
      <xdr:row>17</xdr:row>
      <xdr:rowOff>47647</xdr:rowOff>
    </xdr:to>
    <xdr:sp macro="" textlink="">
      <xdr:nvSpPr>
        <xdr:cNvPr id="43" name="TextBox 42">
          <a:extLst>
            <a:ext uri="{FF2B5EF4-FFF2-40B4-BE49-F238E27FC236}">
              <a16:creationId xmlns:a16="http://schemas.microsoft.com/office/drawing/2014/main" id="{20C08C6F-6FEB-1CD6-C146-488AF7065FA2}"/>
            </a:ext>
          </a:extLst>
        </xdr:cNvPr>
        <xdr:cNvSpPr txBox="1"/>
      </xdr:nvSpPr>
      <xdr:spPr>
        <a:xfrm>
          <a:off x="2172364" y="2693211"/>
          <a:ext cx="628477" cy="508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1" i="0" u="none" strike="noStrike">
              <a:solidFill>
                <a:schemeClr val="tx1"/>
              </a:solidFill>
              <a:latin typeface="Kulim Park" pitchFamily="2" charset="0"/>
              <a:ea typeface="+mn-ea"/>
              <a:cs typeface="+mn-cs"/>
            </a:rPr>
            <a:t>Total</a:t>
          </a:r>
          <a:r>
            <a:rPr lang="en-US" sz="1400" b="1" i="0" u="none" strike="noStrike" baseline="0">
              <a:solidFill>
                <a:schemeClr val="tx1"/>
              </a:solidFill>
              <a:latin typeface="Kulim Park" pitchFamily="2" charset="0"/>
              <a:ea typeface="+mn-ea"/>
              <a:cs typeface="+mn-cs"/>
            </a:rPr>
            <a:t> Sales</a:t>
          </a:r>
          <a:endParaRPr lang="en-US" sz="1400" b="1" i="0" u="none" strike="noStrike">
            <a:solidFill>
              <a:schemeClr val="tx1"/>
            </a:solidFill>
            <a:latin typeface="Kulim Park" pitchFamily="2" charset="0"/>
            <a:ea typeface="+mn-ea"/>
            <a:cs typeface="+mn-cs"/>
          </a:endParaRPr>
        </a:p>
      </xdr:txBody>
    </xdr:sp>
    <xdr:clientData/>
  </xdr:twoCellAnchor>
  <xdr:twoCellAnchor>
    <xdr:from>
      <xdr:col>4</xdr:col>
      <xdr:colOff>192912</xdr:colOff>
      <xdr:row>14</xdr:row>
      <xdr:rowOff>58543</xdr:rowOff>
    </xdr:from>
    <xdr:to>
      <xdr:col>6</xdr:col>
      <xdr:colOff>554621</xdr:colOff>
      <xdr:row>17</xdr:row>
      <xdr:rowOff>86904</xdr:rowOff>
    </xdr:to>
    <xdr:sp macro="" textlink="'Pivot Table'!F11">
      <xdr:nvSpPr>
        <xdr:cNvPr id="48" name="TextBox 47">
          <a:extLst>
            <a:ext uri="{FF2B5EF4-FFF2-40B4-BE49-F238E27FC236}">
              <a16:creationId xmlns:a16="http://schemas.microsoft.com/office/drawing/2014/main" id="{2A35C1EB-E5A5-38D0-7A7E-CB04557AC61E}"/>
            </a:ext>
          </a:extLst>
        </xdr:cNvPr>
        <xdr:cNvSpPr txBox="1"/>
      </xdr:nvSpPr>
      <xdr:spPr>
        <a:xfrm>
          <a:off x="2652532" y="2759302"/>
          <a:ext cx="1591519" cy="607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7FAE296-B462-4462-BCA4-0150D05117F5}" type="TxLink">
            <a:rPr lang="en-US" sz="2600" b="1" i="0" u="none" strike="noStrike">
              <a:solidFill>
                <a:schemeClr val="tx1"/>
              </a:solidFill>
              <a:latin typeface="Kulim Park" pitchFamily="2" charset="0"/>
              <a:ea typeface="+mn-ea"/>
              <a:cs typeface="+mn-cs"/>
            </a:rPr>
            <a:pPr marL="0" indent="0" algn="l"/>
            <a:t> $208,771 </a:t>
          </a:fld>
          <a:endParaRPr lang="en-US" sz="2600" b="1" i="0" u="none" strike="noStrike">
            <a:solidFill>
              <a:schemeClr val="tx1"/>
            </a:solidFill>
            <a:latin typeface="Kulim Park" pitchFamily="2" charset="0"/>
            <a:ea typeface="+mn-ea"/>
            <a:cs typeface="+mn-cs"/>
          </a:endParaRPr>
        </a:p>
      </xdr:txBody>
    </xdr:sp>
    <xdr:clientData/>
  </xdr:twoCellAnchor>
  <xdr:twoCellAnchor>
    <xdr:from>
      <xdr:col>3</xdr:col>
      <xdr:colOff>186789</xdr:colOff>
      <xdr:row>18</xdr:row>
      <xdr:rowOff>59383</xdr:rowOff>
    </xdr:from>
    <xdr:to>
      <xdr:col>6</xdr:col>
      <xdr:colOff>599722</xdr:colOff>
      <xdr:row>35</xdr:row>
      <xdr:rowOff>129353</xdr:rowOff>
    </xdr:to>
    <xdr:sp macro="" textlink="">
      <xdr:nvSpPr>
        <xdr:cNvPr id="53" name="Rectangle: Rounded Corners 52">
          <a:extLst>
            <a:ext uri="{FF2B5EF4-FFF2-40B4-BE49-F238E27FC236}">
              <a16:creationId xmlns:a16="http://schemas.microsoft.com/office/drawing/2014/main" id="{051FB921-EFFB-EC9D-5022-27881D258437}"/>
            </a:ext>
          </a:extLst>
        </xdr:cNvPr>
        <xdr:cNvSpPr/>
      </xdr:nvSpPr>
      <xdr:spPr>
        <a:xfrm>
          <a:off x="2023753" y="3558363"/>
          <a:ext cx="2249898" cy="3374561"/>
        </a:xfrm>
        <a:prstGeom prst="roundRect">
          <a:avLst>
            <a:gd name="adj" fmla="val 6474"/>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271641</xdr:colOff>
      <xdr:row>19</xdr:row>
      <xdr:rowOff>47836</xdr:rowOff>
    </xdr:from>
    <xdr:to>
      <xdr:col>6</xdr:col>
      <xdr:colOff>470371</xdr:colOff>
      <xdr:row>21</xdr:row>
      <xdr:rowOff>35278</xdr:rowOff>
    </xdr:to>
    <xdr:sp macro="" textlink="">
      <xdr:nvSpPr>
        <xdr:cNvPr id="54" name="TextBox 53">
          <a:extLst>
            <a:ext uri="{FF2B5EF4-FFF2-40B4-BE49-F238E27FC236}">
              <a16:creationId xmlns:a16="http://schemas.microsoft.com/office/drawing/2014/main" id="{D93C8C2B-9015-2523-6FD1-5194A203F4AC}"/>
            </a:ext>
          </a:extLst>
        </xdr:cNvPr>
        <xdr:cNvSpPr txBox="1"/>
      </xdr:nvSpPr>
      <xdr:spPr>
        <a:xfrm>
          <a:off x="2106085" y="3622651"/>
          <a:ext cx="2033175" cy="363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Kulim Park" pitchFamily="2" charset="0"/>
              <a:ea typeface="+mn-ea"/>
              <a:cs typeface="+mn-cs"/>
            </a:rPr>
            <a:t>Total Sales By</a:t>
          </a:r>
          <a:r>
            <a:rPr lang="en-US" sz="1200" b="1" i="0" baseline="0">
              <a:solidFill>
                <a:schemeClr val="dk1"/>
              </a:solidFill>
              <a:effectLst/>
              <a:latin typeface="Kulim Park" pitchFamily="2" charset="0"/>
              <a:ea typeface="+mn-ea"/>
              <a:cs typeface="+mn-cs"/>
            </a:rPr>
            <a:t> Categories</a:t>
          </a:r>
          <a:endParaRPr lang="en-US" sz="1200">
            <a:effectLst/>
            <a:latin typeface="Kulim Park" pitchFamily="2" charset="0"/>
          </a:endParaRPr>
        </a:p>
      </xdr:txBody>
    </xdr:sp>
    <xdr:clientData/>
  </xdr:twoCellAnchor>
  <xdr:twoCellAnchor>
    <xdr:from>
      <xdr:col>3</xdr:col>
      <xdr:colOff>380636</xdr:colOff>
      <xdr:row>22</xdr:row>
      <xdr:rowOff>142925</xdr:rowOff>
    </xdr:from>
    <xdr:to>
      <xdr:col>5</xdr:col>
      <xdr:colOff>134244</xdr:colOff>
      <xdr:row>24</xdr:row>
      <xdr:rowOff>6946</xdr:rowOff>
    </xdr:to>
    <xdr:sp macro="" textlink="'Pivot Table'!E6">
      <xdr:nvSpPr>
        <xdr:cNvPr id="56" name="TextBox 55">
          <a:extLst>
            <a:ext uri="{FF2B5EF4-FFF2-40B4-BE49-F238E27FC236}">
              <a16:creationId xmlns:a16="http://schemas.microsoft.com/office/drawing/2014/main" id="{4989351D-677E-BC32-1CA5-97B4CFF71083}"/>
            </a:ext>
          </a:extLst>
        </xdr:cNvPr>
        <xdr:cNvSpPr txBox="1"/>
      </xdr:nvSpPr>
      <xdr:spPr>
        <a:xfrm>
          <a:off x="2192709" y="4231705"/>
          <a:ext cx="961657" cy="23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2DFF29-4610-44E6-BA28-CA25CD92AAAD}" type="TxLink">
            <a:rPr lang="en-US" sz="1400" b="1" i="0" u="none" strike="noStrike">
              <a:solidFill>
                <a:srgbClr val="000000"/>
              </a:solidFill>
              <a:latin typeface="Kulim Park" pitchFamily="2" charset="0"/>
              <a:ea typeface="+mn-ea"/>
              <a:cs typeface="+mn-cs"/>
            </a:rPr>
            <a:pPr marL="0" indent="0" algn="ctr"/>
            <a:t>Beauty</a:t>
          </a:fld>
          <a:endParaRPr lang="en-US" sz="1400" b="1" i="0" u="none" strike="noStrike">
            <a:solidFill>
              <a:srgbClr val="000000"/>
            </a:solidFill>
            <a:latin typeface="Kulim Park" pitchFamily="2" charset="0"/>
            <a:ea typeface="+mn-ea"/>
            <a:cs typeface="+mn-cs"/>
          </a:endParaRPr>
        </a:p>
      </xdr:txBody>
    </xdr:sp>
    <xdr:clientData/>
  </xdr:twoCellAnchor>
  <xdr:twoCellAnchor>
    <xdr:from>
      <xdr:col>5</xdr:col>
      <xdr:colOff>284836</xdr:colOff>
      <xdr:row>22</xdr:row>
      <xdr:rowOff>116633</xdr:rowOff>
    </xdr:from>
    <xdr:to>
      <xdr:col>6</xdr:col>
      <xdr:colOff>556138</xdr:colOff>
      <xdr:row>24</xdr:row>
      <xdr:rowOff>33238</xdr:rowOff>
    </xdr:to>
    <xdr:sp macro="" textlink="'Pivot Table'!F6">
      <xdr:nvSpPr>
        <xdr:cNvPr id="61" name="TextBox 60">
          <a:extLst>
            <a:ext uri="{FF2B5EF4-FFF2-40B4-BE49-F238E27FC236}">
              <a16:creationId xmlns:a16="http://schemas.microsoft.com/office/drawing/2014/main" id="{1FE4E818-5C4C-429C-CD4C-98517DC2955F}"/>
            </a:ext>
          </a:extLst>
        </xdr:cNvPr>
        <xdr:cNvSpPr txBox="1"/>
      </xdr:nvSpPr>
      <xdr:spPr>
        <a:xfrm>
          <a:off x="3304958" y="4205413"/>
          <a:ext cx="875326" cy="28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FE15F4-4FD6-4B60-A1A2-E1CD8AAD2053}" type="TxLink">
            <a:rPr lang="en-US" sz="1300" b="1" i="0" u="none" strike="noStrike">
              <a:solidFill>
                <a:srgbClr val="000000"/>
              </a:solidFill>
              <a:latin typeface="Kulim Park" pitchFamily="2" charset="0"/>
              <a:ea typeface="+mn-ea"/>
              <a:cs typeface="+mn-cs"/>
            </a:rPr>
            <a:pPr marL="0" indent="0" algn="ctr"/>
            <a:t> $29,182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3</xdr:col>
      <xdr:colOff>237083</xdr:colOff>
      <xdr:row>22</xdr:row>
      <xdr:rowOff>129207</xdr:rowOff>
    </xdr:from>
    <xdr:to>
      <xdr:col>3</xdr:col>
      <xdr:colOff>519305</xdr:colOff>
      <xdr:row>24</xdr:row>
      <xdr:rowOff>23375</xdr:rowOff>
    </xdr:to>
    <xdr:sp macro="" textlink="">
      <xdr:nvSpPr>
        <xdr:cNvPr id="72" name="Oval 71">
          <a:extLst>
            <a:ext uri="{FF2B5EF4-FFF2-40B4-BE49-F238E27FC236}">
              <a16:creationId xmlns:a16="http://schemas.microsoft.com/office/drawing/2014/main" id="{A54AA6E2-1E21-927D-9F14-815D993EF10C}"/>
            </a:ext>
          </a:extLst>
        </xdr:cNvPr>
        <xdr:cNvSpPr/>
      </xdr:nvSpPr>
      <xdr:spPr>
        <a:xfrm>
          <a:off x="2049156" y="4217987"/>
          <a:ext cx="282222" cy="265876"/>
        </a:xfrm>
        <a:prstGeom prst="ellipse">
          <a:avLst/>
        </a:prstGeom>
        <a:solidFill>
          <a:srgbClr val="75E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239987</xdr:colOff>
      <xdr:row>25</xdr:row>
      <xdr:rowOff>58268</xdr:rowOff>
    </xdr:from>
    <xdr:to>
      <xdr:col>3</xdr:col>
      <xdr:colOff>522209</xdr:colOff>
      <xdr:row>26</xdr:row>
      <xdr:rowOff>146823</xdr:rowOff>
    </xdr:to>
    <xdr:sp macro="" textlink="">
      <xdr:nvSpPr>
        <xdr:cNvPr id="81" name="Oval 80">
          <a:extLst>
            <a:ext uri="{FF2B5EF4-FFF2-40B4-BE49-F238E27FC236}">
              <a16:creationId xmlns:a16="http://schemas.microsoft.com/office/drawing/2014/main" id="{BC43D5FC-9FA6-F0FE-9309-C0199A72A342}"/>
            </a:ext>
          </a:extLst>
        </xdr:cNvPr>
        <xdr:cNvSpPr/>
      </xdr:nvSpPr>
      <xdr:spPr>
        <a:xfrm>
          <a:off x="2052060" y="4704609"/>
          <a:ext cx="282222" cy="274409"/>
        </a:xfrm>
        <a:prstGeom prst="ellipse">
          <a:avLst/>
        </a:prstGeom>
        <a:solidFill>
          <a:srgbClr val="75E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248699</xdr:colOff>
      <xdr:row>27</xdr:row>
      <xdr:rowOff>181715</xdr:rowOff>
    </xdr:from>
    <xdr:to>
      <xdr:col>3</xdr:col>
      <xdr:colOff>530921</xdr:colOff>
      <xdr:row>29</xdr:row>
      <xdr:rowOff>75882</xdr:rowOff>
    </xdr:to>
    <xdr:sp macro="" textlink="">
      <xdr:nvSpPr>
        <xdr:cNvPr id="84" name="Oval 83">
          <a:extLst>
            <a:ext uri="{FF2B5EF4-FFF2-40B4-BE49-F238E27FC236}">
              <a16:creationId xmlns:a16="http://schemas.microsoft.com/office/drawing/2014/main" id="{9EAE0949-499F-7DA0-06D8-CB76CADB3478}"/>
            </a:ext>
          </a:extLst>
        </xdr:cNvPr>
        <xdr:cNvSpPr/>
      </xdr:nvSpPr>
      <xdr:spPr>
        <a:xfrm>
          <a:off x="2060772" y="5199764"/>
          <a:ext cx="282222" cy="265874"/>
        </a:xfrm>
        <a:prstGeom prst="ellipse">
          <a:avLst/>
        </a:prstGeom>
        <a:solidFill>
          <a:srgbClr val="75E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245795</xdr:colOff>
      <xdr:row>30</xdr:row>
      <xdr:rowOff>110774</xdr:rowOff>
    </xdr:from>
    <xdr:to>
      <xdr:col>3</xdr:col>
      <xdr:colOff>528017</xdr:colOff>
      <xdr:row>32</xdr:row>
      <xdr:rowOff>4942</xdr:rowOff>
    </xdr:to>
    <xdr:sp macro="" textlink="">
      <xdr:nvSpPr>
        <xdr:cNvPr id="87" name="Oval 86">
          <a:extLst>
            <a:ext uri="{FF2B5EF4-FFF2-40B4-BE49-F238E27FC236}">
              <a16:creationId xmlns:a16="http://schemas.microsoft.com/office/drawing/2014/main" id="{ABA29786-7CD9-2371-EE8F-AD8B5B4D0D08}"/>
            </a:ext>
          </a:extLst>
        </xdr:cNvPr>
        <xdr:cNvSpPr/>
      </xdr:nvSpPr>
      <xdr:spPr>
        <a:xfrm>
          <a:off x="2078908" y="5771859"/>
          <a:ext cx="282222" cy="271574"/>
        </a:xfrm>
        <a:prstGeom prst="ellipse">
          <a:avLst/>
        </a:prstGeom>
        <a:solidFill>
          <a:srgbClr val="75E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242891</xdr:colOff>
      <xdr:row>33</xdr:row>
      <xdr:rowOff>48822</xdr:rowOff>
    </xdr:from>
    <xdr:to>
      <xdr:col>3</xdr:col>
      <xdr:colOff>525113</xdr:colOff>
      <xdr:row>34</xdr:row>
      <xdr:rowOff>137377</xdr:rowOff>
    </xdr:to>
    <xdr:sp macro="" textlink="">
      <xdr:nvSpPr>
        <xdr:cNvPr id="88" name="Oval 87">
          <a:extLst>
            <a:ext uri="{FF2B5EF4-FFF2-40B4-BE49-F238E27FC236}">
              <a16:creationId xmlns:a16="http://schemas.microsoft.com/office/drawing/2014/main" id="{29AE8CB5-34F2-870C-6B97-12311F28CE8F}"/>
            </a:ext>
          </a:extLst>
        </xdr:cNvPr>
        <xdr:cNvSpPr/>
      </xdr:nvSpPr>
      <xdr:spPr>
        <a:xfrm>
          <a:off x="2076004" y="6276015"/>
          <a:ext cx="282222" cy="277258"/>
        </a:xfrm>
        <a:prstGeom prst="ellipse">
          <a:avLst/>
        </a:prstGeom>
        <a:solidFill>
          <a:srgbClr val="75EA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151029</xdr:colOff>
      <xdr:row>12</xdr:row>
      <xdr:rowOff>143738</xdr:rowOff>
    </xdr:from>
    <xdr:to>
      <xdr:col>13</xdr:col>
      <xdr:colOff>227049</xdr:colOff>
      <xdr:row>23</xdr:row>
      <xdr:rowOff>66454</xdr:rowOff>
    </xdr:to>
    <xdr:sp macro="" textlink="">
      <xdr:nvSpPr>
        <xdr:cNvPr id="89" name="Rectangle: Rounded Corners 88">
          <a:extLst>
            <a:ext uri="{FF2B5EF4-FFF2-40B4-BE49-F238E27FC236}">
              <a16:creationId xmlns:a16="http://schemas.microsoft.com/office/drawing/2014/main" id="{E86C0003-FDF1-5A55-F0C0-4A43E6558626}"/>
            </a:ext>
          </a:extLst>
        </xdr:cNvPr>
        <xdr:cNvSpPr/>
      </xdr:nvSpPr>
      <xdr:spPr>
        <a:xfrm>
          <a:off x="4415128" y="2403157"/>
          <a:ext cx="3730962" cy="1993849"/>
        </a:xfrm>
        <a:prstGeom prst="roundRect">
          <a:avLst>
            <a:gd name="adj" fmla="val 701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174238</xdr:colOff>
      <xdr:row>14</xdr:row>
      <xdr:rowOff>9272</xdr:rowOff>
    </xdr:from>
    <xdr:to>
      <xdr:col>13</xdr:col>
      <xdr:colOff>171671</xdr:colOff>
      <xdr:row>22</xdr:row>
      <xdr:rowOff>188285</xdr:rowOff>
    </xdr:to>
    <xdr:graphicFrame macro="">
      <xdr:nvGraphicFramePr>
        <xdr:cNvPr id="90" name="Chart 89">
          <a:extLst>
            <a:ext uri="{FF2B5EF4-FFF2-40B4-BE49-F238E27FC236}">
              <a16:creationId xmlns:a16="http://schemas.microsoft.com/office/drawing/2014/main" id="{F7462005-67B0-4FB8-94D0-29DA187DC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126852</xdr:colOff>
      <xdr:row>12</xdr:row>
      <xdr:rowOff>149701</xdr:rowOff>
    </xdr:from>
    <xdr:to>
      <xdr:col>12</xdr:col>
      <xdr:colOff>270521</xdr:colOff>
      <xdr:row>14</xdr:row>
      <xdr:rowOff>134712</xdr:rowOff>
    </xdr:to>
    <xdr:sp macro="" textlink="">
      <xdr:nvSpPr>
        <xdr:cNvPr id="91" name="TextBox 90">
          <a:extLst>
            <a:ext uri="{FF2B5EF4-FFF2-40B4-BE49-F238E27FC236}">
              <a16:creationId xmlns:a16="http://schemas.microsoft.com/office/drawing/2014/main" id="{6E3E1F30-67D7-6FFF-5A59-890A4B80EA4E}"/>
            </a:ext>
          </a:extLst>
        </xdr:cNvPr>
        <xdr:cNvSpPr txBox="1"/>
      </xdr:nvSpPr>
      <xdr:spPr>
        <a:xfrm>
          <a:off x="5046093" y="2464638"/>
          <a:ext cx="2603289" cy="370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Kulim Park" pitchFamily="2" charset="0"/>
              <a:ea typeface="+mn-ea"/>
              <a:cs typeface="+mn-cs"/>
            </a:rPr>
            <a:t>Total Sales By</a:t>
          </a:r>
          <a:r>
            <a:rPr lang="en-US" sz="1600" b="1" i="0" baseline="0">
              <a:solidFill>
                <a:schemeClr val="dk1"/>
              </a:solidFill>
              <a:effectLst/>
              <a:latin typeface="Kulim Park" pitchFamily="2" charset="0"/>
              <a:ea typeface="+mn-ea"/>
              <a:cs typeface="+mn-cs"/>
            </a:rPr>
            <a:t> Region</a:t>
          </a:r>
          <a:endParaRPr lang="en-US" sz="1600" b="1">
            <a:effectLst/>
            <a:latin typeface="Kulim Park" pitchFamily="2" charset="0"/>
          </a:endParaRPr>
        </a:p>
      </xdr:txBody>
    </xdr:sp>
    <xdr:clientData/>
  </xdr:twoCellAnchor>
  <xdr:twoCellAnchor>
    <xdr:from>
      <xdr:col>13</xdr:col>
      <xdr:colOff>310115</xdr:colOff>
      <xdr:row>12</xdr:row>
      <xdr:rowOff>143738</xdr:rowOff>
    </xdr:from>
    <xdr:to>
      <xdr:col>18</xdr:col>
      <xdr:colOff>387458</xdr:colOff>
      <xdr:row>23</xdr:row>
      <xdr:rowOff>58080</xdr:rowOff>
    </xdr:to>
    <xdr:sp macro="" textlink="">
      <xdr:nvSpPr>
        <xdr:cNvPr id="92" name="Rectangle: Rounded Corners 91">
          <a:extLst>
            <a:ext uri="{FF2B5EF4-FFF2-40B4-BE49-F238E27FC236}">
              <a16:creationId xmlns:a16="http://schemas.microsoft.com/office/drawing/2014/main" id="{53E35CE4-ADCE-FD1D-2295-4798644EEB31}"/>
            </a:ext>
          </a:extLst>
        </xdr:cNvPr>
        <xdr:cNvSpPr/>
      </xdr:nvSpPr>
      <xdr:spPr>
        <a:xfrm>
          <a:off x="8285284" y="2468484"/>
          <a:ext cx="3144716" cy="2045359"/>
        </a:xfrm>
        <a:prstGeom prst="roundRect">
          <a:avLst>
            <a:gd name="adj" fmla="val 701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408897</xdr:colOff>
      <xdr:row>15</xdr:row>
      <xdr:rowOff>105832</xdr:rowOff>
    </xdr:from>
    <xdr:to>
      <xdr:col>14</xdr:col>
      <xdr:colOff>81962</xdr:colOff>
      <xdr:row>17</xdr:row>
      <xdr:rowOff>0</xdr:rowOff>
    </xdr:to>
    <xdr:sp macro="" textlink="">
      <xdr:nvSpPr>
        <xdr:cNvPr id="94" name="Oval 93">
          <a:extLst>
            <a:ext uri="{FF2B5EF4-FFF2-40B4-BE49-F238E27FC236}">
              <a16:creationId xmlns:a16="http://schemas.microsoft.com/office/drawing/2014/main" id="{7A7ADB34-41E5-2188-29AB-3D0900C91B2B}"/>
            </a:ext>
          </a:extLst>
        </xdr:cNvPr>
        <xdr:cNvSpPr/>
      </xdr:nvSpPr>
      <xdr:spPr>
        <a:xfrm>
          <a:off x="8302741" y="2963332"/>
          <a:ext cx="280284" cy="275168"/>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408897</xdr:colOff>
      <xdr:row>17</xdr:row>
      <xdr:rowOff>97211</xdr:rowOff>
    </xdr:from>
    <xdr:to>
      <xdr:col>14</xdr:col>
      <xdr:colOff>81962</xdr:colOff>
      <xdr:row>18</xdr:row>
      <xdr:rowOff>179665</xdr:rowOff>
    </xdr:to>
    <xdr:sp macro="" textlink="">
      <xdr:nvSpPr>
        <xdr:cNvPr id="95" name="Oval 94">
          <a:extLst>
            <a:ext uri="{FF2B5EF4-FFF2-40B4-BE49-F238E27FC236}">
              <a16:creationId xmlns:a16="http://schemas.microsoft.com/office/drawing/2014/main" id="{99AD4975-5FDE-058C-C03D-82ACD8F97CDE}"/>
            </a:ext>
          </a:extLst>
        </xdr:cNvPr>
        <xdr:cNvSpPr/>
      </xdr:nvSpPr>
      <xdr:spPr>
        <a:xfrm>
          <a:off x="8302741" y="3335711"/>
          <a:ext cx="280284" cy="272954"/>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414850</xdr:colOff>
      <xdr:row>19</xdr:row>
      <xdr:rowOff>86376</xdr:rowOff>
    </xdr:from>
    <xdr:to>
      <xdr:col>14</xdr:col>
      <xdr:colOff>87915</xdr:colOff>
      <xdr:row>20</xdr:row>
      <xdr:rowOff>168693</xdr:rowOff>
    </xdr:to>
    <xdr:sp macro="" textlink="">
      <xdr:nvSpPr>
        <xdr:cNvPr id="96" name="Oval 95">
          <a:extLst>
            <a:ext uri="{FF2B5EF4-FFF2-40B4-BE49-F238E27FC236}">
              <a16:creationId xmlns:a16="http://schemas.microsoft.com/office/drawing/2014/main" id="{7A96A362-FB6E-E1E7-9822-F54DCE24CDDA}"/>
            </a:ext>
          </a:extLst>
        </xdr:cNvPr>
        <xdr:cNvSpPr/>
      </xdr:nvSpPr>
      <xdr:spPr>
        <a:xfrm>
          <a:off x="8308694" y="3705876"/>
          <a:ext cx="280284" cy="272817"/>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420803</xdr:colOff>
      <xdr:row>21</xdr:row>
      <xdr:rowOff>75403</xdr:rowOff>
    </xdr:from>
    <xdr:to>
      <xdr:col>14</xdr:col>
      <xdr:colOff>93868</xdr:colOff>
      <xdr:row>22</xdr:row>
      <xdr:rowOff>157721</xdr:rowOff>
    </xdr:to>
    <xdr:sp macro="" textlink="">
      <xdr:nvSpPr>
        <xdr:cNvPr id="97" name="Oval 96">
          <a:extLst>
            <a:ext uri="{FF2B5EF4-FFF2-40B4-BE49-F238E27FC236}">
              <a16:creationId xmlns:a16="http://schemas.microsoft.com/office/drawing/2014/main" id="{2642291D-05CF-66E2-B734-F5D460018F51}"/>
            </a:ext>
          </a:extLst>
        </xdr:cNvPr>
        <xdr:cNvSpPr/>
      </xdr:nvSpPr>
      <xdr:spPr>
        <a:xfrm>
          <a:off x="8314647" y="4075903"/>
          <a:ext cx="280284" cy="272818"/>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453844</xdr:colOff>
      <xdr:row>15</xdr:row>
      <xdr:rowOff>128699</xdr:rowOff>
    </xdr:from>
    <xdr:to>
      <xdr:col>14</xdr:col>
      <xdr:colOff>13416</xdr:colOff>
      <xdr:row>16</xdr:row>
      <xdr:rowOff>153138</xdr:rowOff>
    </xdr:to>
    <xdr:sp macro="" textlink="'Pivot Table'!#REF!">
      <xdr:nvSpPr>
        <xdr:cNvPr id="99" name="TextBox 98">
          <a:extLst>
            <a:ext uri="{FF2B5EF4-FFF2-40B4-BE49-F238E27FC236}">
              <a16:creationId xmlns:a16="http://schemas.microsoft.com/office/drawing/2014/main" id="{0E30B989-7EC1-8696-66D3-94E13405CD63}"/>
            </a:ext>
          </a:extLst>
        </xdr:cNvPr>
        <xdr:cNvSpPr txBox="1"/>
      </xdr:nvSpPr>
      <xdr:spPr>
        <a:xfrm>
          <a:off x="8347688" y="2986199"/>
          <a:ext cx="166791" cy="214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1</a:t>
          </a:r>
        </a:p>
      </xdr:txBody>
    </xdr:sp>
    <xdr:clientData/>
  </xdr:twoCellAnchor>
  <xdr:twoCellAnchor>
    <xdr:from>
      <xdr:col>13</xdr:col>
      <xdr:colOff>436682</xdr:colOff>
      <xdr:row>17</xdr:row>
      <xdr:rowOff>119322</xdr:rowOff>
    </xdr:from>
    <xdr:to>
      <xdr:col>14</xdr:col>
      <xdr:colOff>54390</xdr:colOff>
      <xdr:row>18</xdr:row>
      <xdr:rowOff>137296</xdr:rowOff>
    </xdr:to>
    <xdr:sp macro="" textlink="'Pivot Table'!#REF!">
      <xdr:nvSpPr>
        <xdr:cNvPr id="100" name="TextBox 99">
          <a:extLst>
            <a:ext uri="{FF2B5EF4-FFF2-40B4-BE49-F238E27FC236}">
              <a16:creationId xmlns:a16="http://schemas.microsoft.com/office/drawing/2014/main" id="{6709386B-98A7-F61A-B0B8-B62D95D077EB}"/>
            </a:ext>
          </a:extLst>
        </xdr:cNvPr>
        <xdr:cNvSpPr txBox="1"/>
      </xdr:nvSpPr>
      <xdr:spPr>
        <a:xfrm>
          <a:off x="8330526" y="3357822"/>
          <a:ext cx="224927" cy="208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2</a:t>
          </a:r>
        </a:p>
      </xdr:txBody>
    </xdr:sp>
    <xdr:clientData/>
  </xdr:twoCellAnchor>
  <xdr:twoCellAnchor>
    <xdr:from>
      <xdr:col>13</xdr:col>
      <xdr:colOff>468930</xdr:colOff>
      <xdr:row>19</xdr:row>
      <xdr:rowOff>115386</xdr:rowOff>
    </xdr:from>
    <xdr:to>
      <xdr:col>14</xdr:col>
      <xdr:colOff>45953</xdr:colOff>
      <xdr:row>20</xdr:row>
      <xdr:rowOff>135792</xdr:rowOff>
    </xdr:to>
    <xdr:sp macro="" textlink="'Pivot Table'!#REF!">
      <xdr:nvSpPr>
        <xdr:cNvPr id="101" name="TextBox 100">
          <a:extLst>
            <a:ext uri="{FF2B5EF4-FFF2-40B4-BE49-F238E27FC236}">
              <a16:creationId xmlns:a16="http://schemas.microsoft.com/office/drawing/2014/main" id="{F3E45777-DB47-5B1B-C65A-2818C24C58FB}"/>
            </a:ext>
          </a:extLst>
        </xdr:cNvPr>
        <xdr:cNvSpPr txBox="1"/>
      </xdr:nvSpPr>
      <xdr:spPr>
        <a:xfrm>
          <a:off x="8362774" y="3734886"/>
          <a:ext cx="184242" cy="210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3</a:t>
          </a:r>
        </a:p>
      </xdr:txBody>
    </xdr:sp>
    <xdr:clientData/>
  </xdr:twoCellAnchor>
  <xdr:twoCellAnchor>
    <xdr:from>
      <xdr:col>13</xdr:col>
      <xdr:colOff>475316</xdr:colOff>
      <xdr:row>21</xdr:row>
      <xdr:rowOff>101976</xdr:rowOff>
    </xdr:from>
    <xdr:to>
      <xdr:col>14</xdr:col>
      <xdr:colOff>39567</xdr:colOff>
      <xdr:row>22</xdr:row>
      <xdr:rowOff>122383</xdr:rowOff>
    </xdr:to>
    <xdr:sp macro="" textlink="'Pivot Table'!AC26">
      <xdr:nvSpPr>
        <xdr:cNvPr id="102" name="TextBox 101">
          <a:extLst>
            <a:ext uri="{FF2B5EF4-FFF2-40B4-BE49-F238E27FC236}">
              <a16:creationId xmlns:a16="http://schemas.microsoft.com/office/drawing/2014/main" id="{A129727E-93D5-C0FE-5686-26325B38EE4A}"/>
            </a:ext>
          </a:extLst>
        </xdr:cNvPr>
        <xdr:cNvSpPr txBox="1"/>
      </xdr:nvSpPr>
      <xdr:spPr>
        <a:xfrm>
          <a:off x="8369160" y="4102476"/>
          <a:ext cx="171470" cy="21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4</a:t>
          </a:r>
        </a:p>
      </xdr:txBody>
    </xdr:sp>
    <xdr:clientData/>
  </xdr:twoCellAnchor>
  <xdr:twoCellAnchor>
    <xdr:from>
      <xdr:col>14</xdr:col>
      <xdr:colOff>66224</xdr:colOff>
      <xdr:row>15</xdr:row>
      <xdr:rowOff>110449</xdr:rowOff>
    </xdr:from>
    <xdr:to>
      <xdr:col>15</xdr:col>
      <xdr:colOff>562957</xdr:colOff>
      <xdr:row>16</xdr:row>
      <xdr:rowOff>160323</xdr:rowOff>
    </xdr:to>
    <xdr:sp macro="" textlink="'Pivot Table'!K14">
      <xdr:nvSpPr>
        <xdr:cNvPr id="103" name="TextBox 102">
          <a:extLst>
            <a:ext uri="{FF2B5EF4-FFF2-40B4-BE49-F238E27FC236}">
              <a16:creationId xmlns:a16="http://schemas.microsoft.com/office/drawing/2014/main" id="{B3A92379-0427-4633-46F9-86FFB63884C2}"/>
            </a:ext>
          </a:extLst>
        </xdr:cNvPr>
        <xdr:cNvSpPr txBox="1"/>
      </xdr:nvSpPr>
      <xdr:spPr>
        <a:xfrm>
          <a:off x="8567287" y="2967949"/>
          <a:ext cx="1103951" cy="240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435D69-762E-48AB-B69D-85569F47F39A}" type="TxLink">
            <a:rPr lang="en-US" sz="1300" b="1" i="0" u="none" strike="noStrike">
              <a:solidFill>
                <a:srgbClr val="000000"/>
              </a:solidFill>
              <a:latin typeface="Kulim Park" pitchFamily="2" charset="0"/>
              <a:ea typeface="+mn-ea"/>
              <a:cs typeface="+mn-cs"/>
            </a:rPr>
            <a:pPr marL="0" indent="0" algn="ctr"/>
            <a:t>Tom Brown</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14</xdr:col>
      <xdr:colOff>83591</xdr:colOff>
      <xdr:row>17</xdr:row>
      <xdr:rowOff>101325</xdr:rowOff>
    </xdr:from>
    <xdr:to>
      <xdr:col>16</xdr:col>
      <xdr:colOff>132985</xdr:colOff>
      <xdr:row>18</xdr:row>
      <xdr:rowOff>159210</xdr:rowOff>
    </xdr:to>
    <xdr:sp macro="" textlink="'Pivot Table'!K15">
      <xdr:nvSpPr>
        <xdr:cNvPr id="104" name="TextBox 103">
          <a:extLst>
            <a:ext uri="{FF2B5EF4-FFF2-40B4-BE49-F238E27FC236}">
              <a16:creationId xmlns:a16="http://schemas.microsoft.com/office/drawing/2014/main" id="{DF1B69FB-E8C1-F666-C6C7-4EB552786A58}"/>
            </a:ext>
          </a:extLst>
        </xdr:cNvPr>
        <xdr:cNvSpPr txBox="1"/>
      </xdr:nvSpPr>
      <xdr:spPr>
        <a:xfrm>
          <a:off x="8584654" y="3339825"/>
          <a:ext cx="1263831" cy="24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6B1402-29E2-4E0A-8726-3625576E8CC9}" type="TxLink">
            <a:rPr lang="en-US" sz="1300" b="1" i="0" u="none" strike="noStrike">
              <a:solidFill>
                <a:srgbClr val="000000"/>
              </a:solidFill>
              <a:latin typeface="Kulim Park" pitchFamily="2" charset="0"/>
              <a:ea typeface="+mn-ea"/>
              <a:cs typeface="+mn-cs"/>
            </a:rPr>
            <a:pPr marL="0" indent="0" algn="ctr"/>
            <a:t>Sarah Johnson</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14</xdr:col>
      <xdr:colOff>107693</xdr:colOff>
      <xdr:row>19</xdr:row>
      <xdr:rowOff>97982</xdr:rowOff>
    </xdr:from>
    <xdr:to>
      <xdr:col>15</xdr:col>
      <xdr:colOff>478583</xdr:colOff>
      <xdr:row>20</xdr:row>
      <xdr:rowOff>118139</xdr:rowOff>
    </xdr:to>
    <xdr:sp macro="" textlink="'Pivot Table'!K16">
      <xdr:nvSpPr>
        <xdr:cNvPr id="105" name="TextBox 104">
          <a:extLst>
            <a:ext uri="{FF2B5EF4-FFF2-40B4-BE49-F238E27FC236}">
              <a16:creationId xmlns:a16="http://schemas.microsoft.com/office/drawing/2014/main" id="{E135E998-9EB5-4067-4D0C-EECFE92AE697}"/>
            </a:ext>
          </a:extLst>
        </xdr:cNvPr>
        <xdr:cNvSpPr txBox="1"/>
      </xdr:nvSpPr>
      <xdr:spPr>
        <a:xfrm>
          <a:off x="8564034" y="3629202"/>
          <a:ext cx="974915" cy="206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05831A-3A3B-4F7B-A939-E3D362F2E7DE}" type="TxLink">
            <a:rPr lang="en-US" sz="1300" b="1" i="0" u="none" strike="noStrike">
              <a:solidFill>
                <a:srgbClr val="000000"/>
              </a:solidFill>
              <a:latin typeface="Kulim Park" pitchFamily="2" charset="0"/>
              <a:ea typeface="+mn-ea"/>
              <a:cs typeface="+mn-cs"/>
            </a:rPr>
            <a:pPr marL="0" indent="0" algn="ctr"/>
            <a:t>Lisa White</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14</xdr:col>
      <xdr:colOff>112613</xdr:colOff>
      <xdr:row>21</xdr:row>
      <xdr:rowOff>119886</xdr:rowOff>
    </xdr:from>
    <xdr:to>
      <xdr:col>15</xdr:col>
      <xdr:colOff>522359</xdr:colOff>
      <xdr:row>22</xdr:row>
      <xdr:rowOff>109141</xdr:rowOff>
    </xdr:to>
    <xdr:sp macro="" textlink="'Pivot Table'!K17">
      <xdr:nvSpPr>
        <xdr:cNvPr id="106" name="TextBox 105">
          <a:extLst>
            <a:ext uri="{FF2B5EF4-FFF2-40B4-BE49-F238E27FC236}">
              <a16:creationId xmlns:a16="http://schemas.microsoft.com/office/drawing/2014/main" id="{EB3C82EA-2D52-5132-06B9-DC386D0DAA92}"/>
            </a:ext>
          </a:extLst>
        </xdr:cNvPr>
        <xdr:cNvSpPr txBox="1"/>
      </xdr:nvSpPr>
      <xdr:spPr>
        <a:xfrm>
          <a:off x="8568954" y="4022813"/>
          <a:ext cx="1013771" cy="175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E7720E-28E9-43BD-9818-E79C2F1B1258}" type="TxLink">
            <a:rPr lang="en-US" sz="1300" b="1" i="0" u="none" strike="noStrike">
              <a:solidFill>
                <a:srgbClr val="000000"/>
              </a:solidFill>
              <a:latin typeface="Kulim Park" pitchFamily="2" charset="0"/>
              <a:ea typeface="+mn-ea"/>
              <a:cs typeface="+mn-cs"/>
            </a:rPr>
            <a:pPr marL="0" indent="0" algn="ctr"/>
            <a:t>Mark Davis</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16</xdr:col>
      <xdr:colOff>453366</xdr:colOff>
      <xdr:row>15</xdr:row>
      <xdr:rowOff>114326</xdr:rowOff>
    </xdr:from>
    <xdr:to>
      <xdr:col>18</xdr:col>
      <xdr:colOff>117581</xdr:colOff>
      <xdr:row>17</xdr:row>
      <xdr:rowOff>30930</xdr:rowOff>
    </xdr:to>
    <xdr:sp macro="" textlink="'Pivot Table'!L14">
      <xdr:nvSpPr>
        <xdr:cNvPr id="108" name="TextBox 107">
          <a:extLst>
            <a:ext uri="{FF2B5EF4-FFF2-40B4-BE49-F238E27FC236}">
              <a16:creationId xmlns:a16="http://schemas.microsoft.com/office/drawing/2014/main" id="{6B66AB2B-775C-C410-DEC1-D0513E94E312}"/>
            </a:ext>
          </a:extLst>
        </xdr:cNvPr>
        <xdr:cNvSpPr txBox="1"/>
      </xdr:nvSpPr>
      <xdr:spPr>
        <a:xfrm>
          <a:off x="10168866" y="2971826"/>
          <a:ext cx="878653" cy="297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CA5887-D135-405B-A9C2-FECC60F6C1F1}" type="TxLink">
            <a:rPr lang="en-US" sz="1300" b="1" i="0" u="none" strike="noStrike">
              <a:solidFill>
                <a:srgbClr val="000000"/>
              </a:solidFill>
              <a:latin typeface="Kulim Park" pitchFamily="2" charset="0"/>
              <a:ea typeface="+mn-ea"/>
              <a:cs typeface="+mn-cs"/>
            </a:rPr>
            <a:pPr marL="0" indent="0" algn="ctr"/>
            <a:t> $64,551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16</xdr:col>
      <xdr:colOff>477178</xdr:colOff>
      <xdr:row>17</xdr:row>
      <xdr:rowOff>98526</xdr:rowOff>
    </xdr:from>
    <xdr:to>
      <xdr:col>18</xdr:col>
      <xdr:colOff>141393</xdr:colOff>
      <xdr:row>19</xdr:row>
      <xdr:rowOff>15131</xdr:rowOff>
    </xdr:to>
    <xdr:sp macro="" textlink="'Pivot Table'!L15">
      <xdr:nvSpPr>
        <xdr:cNvPr id="109" name="TextBox 108">
          <a:extLst>
            <a:ext uri="{FF2B5EF4-FFF2-40B4-BE49-F238E27FC236}">
              <a16:creationId xmlns:a16="http://schemas.microsoft.com/office/drawing/2014/main" id="{080CC274-62A4-0E38-6C15-A840E40845F2}"/>
            </a:ext>
          </a:extLst>
        </xdr:cNvPr>
        <xdr:cNvSpPr txBox="1"/>
      </xdr:nvSpPr>
      <xdr:spPr>
        <a:xfrm>
          <a:off x="10192678" y="3337026"/>
          <a:ext cx="878653" cy="297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87885F-D138-4E5C-8AEC-1AD13718FCA8}" type="TxLink">
            <a:rPr lang="en-US" sz="1300" b="1" i="0" u="none" strike="noStrike">
              <a:solidFill>
                <a:srgbClr val="000000"/>
              </a:solidFill>
              <a:latin typeface="Kulim Park" pitchFamily="2" charset="0"/>
              <a:ea typeface="+mn-ea"/>
              <a:cs typeface="+mn-cs"/>
            </a:rPr>
            <a:pPr marL="0" indent="0" algn="ctr"/>
            <a:t> $52,442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16</xdr:col>
      <xdr:colOff>477178</xdr:colOff>
      <xdr:row>19</xdr:row>
      <xdr:rowOff>82727</xdr:rowOff>
    </xdr:from>
    <xdr:to>
      <xdr:col>18</xdr:col>
      <xdr:colOff>141393</xdr:colOff>
      <xdr:row>20</xdr:row>
      <xdr:rowOff>187848</xdr:rowOff>
    </xdr:to>
    <xdr:sp macro="" textlink="'Pivot Table'!L16">
      <xdr:nvSpPr>
        <xdr:cNvPr id="110" name="TextBox 109">
          <a:extLst>
            <a:ext uri="{FF2B5EF4-FFF2-40B4-BE49-F238E27FC236}">
              <a16:creationId xmlns:a16="http://schemas.microsoft.com/office/drawing/2014/main" id="{46CAAAE5-6B0A-4D61-226C-61E06DE952E0}"/>
            </a:ext>
          </a:extLst>
        </xdr:cNvPr>
        <xdr:cNvSpPr txBox="1"/>
      </xdr:nvSpPr>
      <xdr:spPr>
        <a:xfrm>
          <a:off x="10192678" y="3702227"/>
          <a:ext cx="878653" cy="295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8D7B80-FEC1-49AC-A307-17D3AE13698A}" type="TxLink">
            <a:rPr lang="en-US" sz="1300" b="1" i="0" u="none" strike="noStrike">
              <a:solidFill>
                <a:srgbClr val="000000"/>
              </a:solidFill>
              <a:latin typeface="Kulim Park" pitchFamily="2" charset="0"/>
              <a:ea typeface="+mn-ea"/>
              <a:cs typeface="+mn-cs"/>
            </a:rPr>
            <a:pPr marL="0" indent="0" algn="ctr"/>
            <a:t> $48,099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16</xdr:col>
      <xdr:colOff>477178</xdr:colOff>
      <xdr:row>21</xdr:row>
      <xdr:rowOff>64945</xdr:rowOff>
    </xdr:from>
    <xdr:to>
      <xdr:col>18</xdr:col>
      <xdr:colOff>141393</xdr:colOff>
      <xdr:row>22</xdr:row>
      <xdr:rowOff>170067</xdr:rowOff>
    </xdr:to>
    <xdr:sp macro="" textlink="'Pivot Table'!L17">
      <xdr:nvSpPr>
        <xdr:cNvPr id="111" name="TextBox 110">
          <a:extLst>
            <a:ext uri="{FF2B5EF4-FFF2-40B4-BE49-F238E27FC236}">
              <a16:creationId xmlns:a16="http://schemas.microsoft.com/office/drawing/2014/main" id="{9753550B-4489-44DF-2CF6-9290477B08C4}"/>
            </a:ext>
          </a:extLst>
        </xdr:cNvPr>
        <xdr:cNvSpPr txBox="1"/>
      </xdr:nvSpPr>
      <xdr:spPr>
        <a:xfrm>
          <a:off x="10192678" y="4065445"/>
          <a:ext cx="878653" cy="295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7C0473-D667-4917-AD96-8CDC53567912}" type="TxLink">
            <a:rPr lang="en-US" sz="1300" b="1" i="0" u="none" strike="noStrike">
              <a:solidFill>
                <a:srgbClr val="000000"/>
              </a:solidFill>
              <a:latin typeface="Kulim Park" pitchFamily="2" charset="0"/>
              <a:ea typeface="+mn-ea"/>
              <a:cs typeface="+mn-cs"/>
            </a:rPr>
            <a:pPr marL="0" indent="0" algn="ctr"/>
            <a:t> $43,680 </a:t>
          </a:fld>
          <a:endParaRPr lang="en-US" sz="1300" b="1" i="0" u="none" strike="noStrike">
            <a:solidFill>
              <a:srgbClr val="000000"/>
            </a:solidFill>
            <a:latin typeface="Kulim Park" pitchFamily="2" charset="0"/>
            <a:ea typeface="+mn-ea"/>
            <a:cs typeface="+mn-cs"/>
          </a:endParaRPr>
        </a:p>
      </xdr:txBody>
    </xdr:sp>
    <xdr:clientData/>
  </xdr:twoCellAnchor>
  <xdr:twoCellAnchor editAs="oneCell">
    <xdr:from>
      <xdr:col>3</xdr:col>
      <xdr:colOff>280289</xdr:colOff>
      <xdr:row>25</xdr:row>
      <xdr:rowOff>94436</xdr:rowOff>
    </xdr:from>
    <xdr:to>
      <xdr:col>3</xdr:col>
      <xdr:colOff>490272</xdr:colOff>
      <xdr:row>26</xdr:row>
      <xdr:rowOff>117516</xdr:rowOff>
    </xdr:to>
    <xdr:pic>
      <xdr:nvPicPr>
        <xdr:cNvPr id="113" name="Graphic 112" descr="Shirt with solid fill">
          <a:extLst>
            <a:ext uri="{FF2B5EF4-FFF2-40B4-BE49-F238E27FC236}">
              <a16:creationId xmlns:a16="http://schemas.microsoft.com/office/drawing/2014/main" id="{A1853AB2-867B-EEA8-4FEF-F26E0364D5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17253" y="4887861"/>
          <a:ext cx="209983" cy="214817"/>
        </a:xfrm>
        <a:prstGeom prst="rect">
          <a:avLst/>
        </a:prstGeom>
      </xdr:spPr>
    </xdr:pic>
    <xdr:clientData/>
  </xdr:twoCellAnchor>
  <xdr:twoCellAnchor editAs="oneCell">
    <xdr:from>
      <xdr:col>3</xdr:col>
      <xdr:colOff>262530</xdr:colOff>
      <xdr:row>33</xdr:row>
      <xdr:rowOff>69450</xdr:rowOff>
    </xdr:from>
    <xdr:to>
      <xdr:col>3</xdr:col>
      <xdr:colOff>505557</xdr:colOff>
      <xdr:row>34</xdr:row>
      <xdr:rowOff>124023</xdr:rowOff>
    </xdr:to>
    <xdr:pic>
      <xdr:nvPicPr>
        <xdr:cNvPr id="115" name="Graphic 114" descr="Body builder with solid fill">
          <a:extLst>
            <a:ext uri="{FF2B5EF4-FFF2-40B4-BE49-F238E27FC236}">
              <a16:creationId xmlns:a16="http://schemas.microsoft.com/office/drawing/2014/main" id="{527FB270-5D41-B85D-E128-A7EC2E6EF7E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86934" y="6355950"/>
          <a:ext cx="243027" cy="245073"/>
        </a:xfrm>
        <a:prstGeom prst="rect">
          <a:avLst/>
        </a:prstGeom>
      </xdr:spPr>
    </xdr:pic>
    <xdr:clientData/>
  </xdr:twoCellAnchor>
  <xdr:twoCellAnchor editAs="oneCell">
    <xdr:from>
      <xdr:col>3</xdr:col>
      <xdr:colOff>274601</xdr:colOff>
      <xdr:row>28</xdr:row>
      <xdr:rowOff>20476</xdr:rowOff>
    </xdr:from>
    <xdr:to>
      <xdr:col>3</xdr:col>
      <xdr:colOff>502589</xdr:colOff>
      <xdr:row>29</xdr:row>
      <xdr:rowOff>58316</xdr:rowOff>
    </xdr:to>
    <xdr:pic>
      <xdr:nvPicPr>
        <xdr:cNvPr id="117" name="Graphic 116" descr="Smart Phone with solid fill">
          <a:extLst>
            <a:ext uri="{FF2B5EF4-FFF2-40B4-BE49-F238E27FC236}">
              <a16:creationId xmlns:a16="http://schemas.microsoft.com/office/drawing/2014/main" id="{899E7C1F-7C24-A5CE-09A6-899BAC8ECC2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96986" y="5327262"/>
          <a:ext cx="227988" cy="227368"/>
        </a:xfrm>
        <a:prstGeom prst="rect">
          <a:avLst/>
        </a:prstGeom>
      </xdr:spPr>
    </xdr:pic>
    <xdr:clientData/>
  </xdr:twoCellAnchor>
  <xdr:twoCellAnchor editAs="oneCell">
    <xdr:from>
      <xdr:col>3</xdr:col>
      <xdr:colOff>278783</xdr:colOff>
      <xdr:row>22</xdr:row>
      <xdr:rowOff>174239</xdr:rowOff>
    </xdr:from>
    <xdr:to>
      <xdr:col>3</xdr:col>
      <xdr:colOff>476251</xdr:colOff>
      <xdr:row>23</xdr:row>
      <xdr:rowOff>185853</xdr:rowOff>
    </xdr:to>
    <xdr:pic>
      <xdr:nvPicPr>
        <xdr:cNvPr id="119" name="Graphic 118" descr="Angel face with solid fill with solid fill">
          <a:extLst>
            <a:ext uri="{FF2B5EF4-FFF2-40B4-BE49-F238E27FC236}">
              <a16:creationId xmlns:a16="http://schemas.microsoft.com/office/drawing/2014/main" id="{E1209A97-F57F-FC65-83F9-D47FB4D0491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90856" y="4263019"/>
          <a:ext cx="197468" cy="197468"/>
        </a:xfrm>
        <a:prstGeom prst="rect">
          <a:avLst/>
        </a:prstGeom>
      </xdr:spPr>
    </xdr:pic>
    <xdr:clientData/>
  </xdr:twoCellAnchor>
  <xdr:twoCellAnchor editAs="oneCell">
    <xdr:from>
      <xdr:col>3</xdr:col>
      <xdr:colOff>255768</xdr:colOff>
      <xdr:row>30</xdr:row>
      <xdr:rowOff>126680</xdr:rowOff>
    </xdr:from>
    <xdr:to>
      <xdr:col>3</xdr:col>
      <xdr:colOff>499702</xdr:colOff>
      <xdr:row>31</xdr:row>
      <xdr:rowOff>187610</xdr:rowOff>
    </xdr:to>
    <xdr:pic>
      <xdr:nvPicPr>
        <xdr:cNvPr id="121" name="Graphic 120" descr="Playbook with solid fill">
          <a:extLst>
            <a:ext uri="{FF2B5EF4-FFF2-40B4-BE49-F238E27FC236}">
              <a16:creationId xmlns:a16="http://schemas.microsoft.com/office/drawing/2014/main" id="{B4E7BA67-236B-7309-6172-9FE74102CF7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88881" y="5787765"/>
          <a:ext cx="243934" cy="249633"/>
        </a:xfrm>
        <a:prstGeom prst="rect">
          <a:avLst/>
        </a:prstGeom>
      </xdr:spPr>
    </xdr:pic>
    <xdr:clientData/>
  </xdr:twoCellAnchor>
  <xdr:twoCellAnchor>
    <xdr:from>
      <xdr:col>7</xdr:col>
      <xdr:colOff>156372</xdr:colOff>
      <xdr:row>23</xdr:row>
      <xdr:rowOff>171450</xdr:rowOff>
    </xdr:from>
    <xdr:to>
      <xdr:col>15</xdr:col>
      <xdr:colOff>19050</xdr:colOff>
      <xdr:row>35</xdr:row>
      <xdr:rowOff>104775</xdr:rowOff>
    </xdr:to>
    <xdr:sp macro="" textlink="">
      <xdr:nvSpPr>
        <xdr:cNvPr id="3" name="Rectangle: Rounded Corners 2">
          <a:extLst>
            <a:ext uri="{FF2B5EF4-FFF2-40B4-BE49-F238E27FC236}">
              <a16:creationId xmlns:a16="http://schemas.microsoft.com/office/drawing/2014/main" id="{C7749F2A-CB59-AD80-4800-5E1570130A33}"/>
            </a:ext>
          </a:extLst>
        </xdr:cNvPr>
        <xdr:cNvSpPr/>
      </xdr:nvSpPr>
      <xdr:spPr>
        <a:xfrm>
          <a:off x="4423572" y="4552950"/>
          <a:ext cx="4739478" cy="2219325"/>
        </a:xfrm>
        <a:prstGeom prst="roundRect">
          <a:avLst>
            <a:gd name="adj" fmla="val 701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120429</xdr:colOff>
      <xdr:row>23</xdr:row>
      <xdr:rowOff>162464</xdr:rowOff>
    </xdr:from>
    <xdr:to>
      <xdr:col>18</xdr:col>
      <xdr:colOff>395378</xdr:colOff>
      <xdr:row>35</xdr:row>
      <xdr:rowOff>116816</xdr:rowOff>
    </xdr:to>
    <xdr:sp macro="" textlink="">
      <xdr:nvSpPr>
        <xdr:cNvPr id="21" name="Rectangle: Rounded Corners 20">
          <a:extLst>
            <a:ext uri="{FF2B5EF4-FFF2-40B4-BE49-F238E27FC236}">
              <a16:creationId xmlns:a16="http://schemas.microsoft.com/office/drawing/2014/main" id="{871DF353-DCF2-C12B-7AE7-FC45F1CA6C35}"/>
            </a:ext>
          </a:extLst>
        </xdr:cNvPr>
        <xdr:cNvSpPr/>
      </xdr:nvSpPr>
      <xdr:spPr>
        <a:xfrm>
          <a:off x="9322548" y="4618227"/>
          <a:ext cx="2115372" cy="2279097"/>
        </a:xfrm>
        <a:prstGeom prst="roundRect">
          <a:avLst>
            <a:gd name="adj" fmla="val 701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274282</xdr:colOff>
      <xdr:row>26</xdr:row>
      <xdr:rowOff>157397</xdr:rowOff>
    </xdr:from>
    <xdr:to>
      <xdr:col>15</xdr:col>
      <xdr:colOff>558384</xdr:colOff>
      <xdr:row>28</xdr:row>
      <xdr:rowOff>51566</xdr:rowOff>
    </xdr:to>
    <xdr:sp macro="" textlink="">
      <xdr:nvSpPr>
        <xdr:cNvPr id="22" name="Oval 21">
          <a:extLst>
            <a:ext uri="{FF2B5EF4-FFF2-40B4-BE49-F238E27FC236}">
              <a16:creationId xmlns:a16="http://schemas.microsoft.com/office/drawing/2014/main" id="{2F78884F-54D8-1C58-FFAB-8C490404CA54}"/>
            </a:ext>
          </a:extLst>
        </xdr:cNvPr>
        <xdr:cNvSpPr/>
      </xdr:nvSpPr>
      <xdr:spPr>
        <a:xfrm>
          <a:off x="9476401" y="5194346"/>
          <a:ext cx="284102" cy="281627"/>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311157</xdr:colOff>
      <xdr:row>26</xdr:row>
      <xdr:rowOff>182061</xdr:rowOff>
    </xdr:from>
    <xdr:to>
      <xdr:col>15</xdr:col>
      <xdr:colOff>481766</xdr:colOff>
      <xdr:row>28</xdr:row>
      <xdr:rowOff>16001</xdr:rowOff>
    </xdr:to>
    <xdr:sp macro="" textlink="'Pivot Table'!#REF!">
      <xdr:nvSpPr>
        <xdr:cNvPr id="36" name="TextBox 35">
          <a:extLst>
            <a:ext uri="{FF2B5EF4-FFF2-40B4-BE49-F238E27FC236}">
              <a16:creationId xmlns:a16="http://schemas.microsoft.com/office/drawing/2014/main" id="{36189C78-80E7-DCDE-DE33-60FDFA5CCA70}"/>
            </a:ext>
          </a:extLst>
        </xdr:cNvPr>
        <xdr:cNvSpPr txBox="1"/>
      </xdr:nvSpPr>
      <xdr:spPr>
        <a:xfrm>
          <a:off x="9513276" y="5219010"/>
          <a:ext cx="170609" cy="221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1</a:t>
          </a:r>
        </a:p>
      </xdr:txBody>
    </xdr:sp>
    <xdr:clientData/>
  </xdr:twoCellAnchor>
  <xdr:twoCellAnchor>
    <xdr:from>
      <xdr:col>15</xdr:col>
      <xdr:colOff>516610</xdr:colOff>
      <xdr:row>26</xdr:row>
      <xdr:rowOff>174455</xdr:rowOff>
    </xdr:from>
    <xdr:to>
      <xdr:col>17</xdr:col>
      <xdr:colOff>87757</xdr:colOff>
      <xdr:row>28</xdr:row>
      <xdr:rowOff>33830</xdr:rowOff>
    </xdr:to>
    <xdr:sp macro="" textlink="'Pivot Table'!Q14">
      <xdr:nvSpPr>
        <xdr:cNvPr id="38" name="TextBox 37">
          <a:extLst>
            <a:ext uri="{FF2B5EF4-FFF2-40B4-BE49-F238E27FC236}">
              <a16:creationId xmlns:a16="http://schemas.microsoft.com/office/drawing/2014/main" id="{78244830-E985-D942-8A2E-E770DB719F89}"/>
            </a:ext>
          </a:extLst>
        </xdr:cNvPr>
        <xdr:cNvSpPr txBox="1"/>
      </xdr:nvSpPr>
      <xdr:spPr>
        <a:xfrm>
          <a:off x="9718729" y="5211404"/>
          <a:ext cx="798096" cy="24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869274-6AEC-4EB1-A594-39469A3E53AD}" type="TxLink">
            <a:rPr lang="en-US" sz="1300" b="1" i="0" u="none" strike="noStrike">
              <a:solidFill>
                <a:srgbClr val="000000"/>
              </a:solidFill>
              <a:latin typeface="Kulim Park" pitchFamily="2" charset="0"/>
              <a:ea typeface="+mn-ea"/>
              <a:cs typeface="+mn-cs"/>
            </a:rPr>
            <a:pPr marL="0" indent="0" algn="ctr"/>
            <a:t>Eve</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17</xdr:col>
      <xdr:colOff>84522</xdr:colOff>
      <xdr:row>26</xdr:row>
      <xdr:rowOff>134924</xdr:rowOff>
    </xdr:from>
    <xdr:to>
      <xdr:col>18</xdr:col>
      <xdr:colOff>359775</xdr:colOff>
      <xdr:row>28</xdr:row>
      <xdr:rowOff>51529</xdr:rowOff>
    </xdr:to>
    <xdr:sp macro="" textlink="'Pivot Table'!R14">
      <xdr:nvSpPr>
        <xdr:cNvPr id="39" name="TextBox 38">
          <a:extLst>
            <a:ext uri="{FF2B5EF4-FFF2-40B4-BE49-F238E27FC236}">
              <a16:creationId xmlns:a16="http://schemas.microsoft.com/office/drawing/2014/main" id="{668BB815-389C-73DB-28CA-3B34D315DBCE}"/>
            </a:ext>
          </a:extLst>
        </xdr:cNvPr>
        <xdr:cNvSpPr txBox="1"/>
      </xdr:nvSpPr>
      <xdr:spPr>
        <a:xfrm>
          <a:off x="10513590" y="5171873"/>
          <a:ext cx="888727" cy="304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100EA0-1FD7-4B83-9AC2-CB7507DF2EBC}" type="TxLink">
            <a:rPr lang="en-US" sz="1300" b="1" i="0" u="none" strike="noStrike">
              <a:solidFill>
                <a:srgbClr val="000000"/>
              </a:solidFill>
              <a:latin typeface="Kulim Park" pitchFamily="2" charset="0"/>
              <a:ea typeface="+mn-ea"/>
              <a:cs typeface="+mn-cs"/>
            </a:rPr>
            <a:pPr marL="0" indent="0" algn="ctr"/>
            <a:t> $55,711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15</xdr:col>
      <xdr:colOff>274282</xdr:colOff>
      <xdr:row>29</xdr:row>
      <xdr:rowOff>3531</xdr:rowOff>
    </xdr:from>
    <xdr:to>
      <xdr:col>15</xdr:col>
      <xdr:colOff>558384</xdr:colOff>
      <xdr:row>30</xdr:row>
      <xdr:rowOff>88200</xdr:rowOff>
    </xdr:to>
    <xdr:sp macro="" textlink="">
      <xdr:nvSpPr>
        <xdr:cNvPr id="51" name="Oval 50">
          <a:extLst>
            <a:ext uri="{FF2B5EF4-FFF2-40B4-BE49-F238E27FC236}">
              <a16:creationId xmlns:a16="http://schemas.microsoft.com/office/drawing/2014/main" id="{6C80F03E-00BC-966C-24A8-8DD367653555}"/>
            </a:ext>
          </a:extLst>
        </xdr:cNvPr>
        <xdr:cNvSpPr/>
      </xdr:nvSpPr>
      <xdr:spPr>
        <a:xfrm>
          <a:off x="9476401" y="5621667"/>
          <a:ext cx="284102" cy="278397"/>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320059</xdr:colOff>
      <xdr:row>29</xdr:row>
      <xdr:rowOff>28195</xdr:rowOff>
    </xdr:from>
    <xdr:to>
      <xdr:col>15</xdr:col>
      <xdr:colOff>490668</xdr:colOff>
      <xdr:row>30</xdr:row>
      <xdr:rowOff>52635</xdr:rowOff>
    </xdr:to>
    <xdr:sp macro="" textlink="'Pivot Table'!#REF!">
      <xdr:nvSpPr>
        <xdr:cNvPr id="52" name="TextBox 51">
          <a:extLst>
            <a:ext uri="{FF2B5EF4-FFF2-40B4-BE49-F238E27FC236}">
              <a16:creationId xmlns:a16="http://schemas.microsoft.com/office/drawing/2014/main" id="{D14197E8-7531-7D7D-D2E3-0AFE810E3503}"/>
            </a:ext>
          </a:extLst>
        </xdr:cNvPr>
        <xdr:cNvSpPr txBox="1"/>
      </xdr:nvSpPr>
      <xdr:spPr>
        <a:xfrm>
          <a:off x="9522178" y="5646331"/>
          <a:ext cx="170609" cy="218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2</a:t>
          </a:r>
        </a:p>
      </xdr:txBody>
    </xdr:sp>
    <xdr:clientData/>
  </xdr:twoCellAnchor>
  <xdr:twoCellAnchor>
    <xdr:from>
      <xdr:col>15</xdr:col>
      <xdr:colOff>274282</xdr:colOff>
      <xdr:row>31</xdr:row>
      <xdr:rowOff>40165</xdr:rowOff>
    </xdr:from>
    <xdr:to>
      <xdr:col>15</xdr:col>
      <xdr:colOff>558384</xdr:colOff>
      <xdr:row>32</xdr:row>
      <xdr:rowOff>124834</xdr:rowOff>
    </xdr:to>
    <xdr:sp macro="" textlink="">
      <xdr:nvSpPr>
        <xdr:cNvPr id="64" name="Oval 63">
          <a:extLst>
            <a:ext uri="{FF2B5EF4-FFF2-40B4-BE49-F238E27FC236}">
              <a16:creationId xmlns:a16="http://schemas.microsoft.com/office/drawing/2014/main" id="{06701320-88BB-A3A8-6F38-6CB5F4538A50}"/>
            </a:ext>
          </a:extLst>
        </xdr:cNvPr>
        <xdr:cNvSpPr/>
      </xdr:nvSpPr>
      <xdr:spPr>
        <a:xfrm>
          <a:off x="9476401" y="6045758"/>
          <a:ext cx="284102" cy="278398"/>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324510</xdr:colOff>
      <xdr:row>31</xdr:row>
      <xdr:rowOff>69280</xdr:rowOff>
    </xdr:from>
    <xdr:to>
      <xdr:col>15</xdr:col>
      <xdr:colOff>495119</xdr:colOff>
      <xdr:row>32</xdr:row>
      <xdr:rowOff>93720</xdr:rowOff>
    </xdr:to>
    <xdr:sp macro="" textlink="'Pivot Table'!#REF!">
      <xdr:nvSpPr>
        <xdr:cNvPr id="65" name="TextBox 64">
          <a:extLst>
            <a:ext uri="{FF2B5EF4-FFF2-40B4-BE49-F238E27FC236}">
              <a16:creationId xmlns:a16="http://schemas.microsoft.com/office/drawing/2014/main" id="{16B76DD8-7F99-1E22-7A2A-2FE54B118C83}"/>
            </a:ext>
          </a:extLst>
        </xdr:cNvPr>
        <xdr:cNvSpPr txBox="1"/>
      </xdr:nvSpPr>
      <xdr:spPr>
        <a:xfrm>
          <a:off x="9526629" y="6074873"/>
          <a:ext cx="170609" cy="218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3</a:t>
          </a:r>
        </a:p>
      </xdr:txBody>
    </xdr:sp>
    <xdr:clientData/>
  </xdr:twoCellAnchor>
  <xdr:twoCellAnchor>
    <xdr:from>
      <xdr:col>15</xdr:col>
      <xdr:colOff>274282</xdr:colOff>
      <xdr:row>33</xdr:row>
      <xdr:rowOff>76800</xdr:rowOff>
    </xdr:from>
    <xdr:to>
      <xdr:col>15</xdr:col>
      <xdr:colOff>558384</xdr:colOff>
      <xdr:row>34</xdr:row>
      <xdr:rowOff>161469</xdr:rowOff>
    </xdr:to>
    <xdr:sp macro="" textlink="">
      <xdr:nvSpPr>
        <xdr:cNvPr id="68" name="Oval 67">
          <a:extLst>
            <a:ext uri="{FF2B5EF4-FFF2-40B4-BE49-F238E27FC236}">
              <a16:creationId xmlns:a16="http://schemas.microsoft.com/office/drawing/2014/main" id="{C277B680-4911-3F6E-3649-2E22EDA47475}"/>
            </a:ext>
          </a:extLst>
        </xdr:cNvPr>
        <xdr:cNvSpPr/>
      </xdr:nvSpPr>
      <xdr:spPr>
        <a:xfrm>
          <a:off x="9476401" y="6469851"/>
          <a:ext cx="284102" cy="278398"/>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320059</xdr:colOff>
      <xdr:row>33</xdr:row>
      <xdr:rowOff>105915</xdr:rowOff>
    </xdr:from>
    <xdr:to>
      <xdr:col>15</xdr:col>
      <xdr:colOff>490668</xdr:colOff>
      <xdr:row>34</xdr:row>
      <xdr:rowOff>130355</xdr:rowOff>
    </xdr:to>
    <xdr:sp macro="" textlink="'Pivot Table'!#REF!">
      <xdr:nvSpPr>
        <xdr:cNvPr id="73" name="TextBox 72">
          <a:extLst>
            <a:ext uri="{FF2B5EF4-FFF2-40B4-BE49-F238E27FC236}">
              <a16:creationId xmlns:a16="http://schemas.microsoft.com/office/drawing/2014/main" id="{2A791BDE-67D2-2D7C-0A1B-081FF1318A05}"/>
            </a:ext>
          </a:extLst>
        </xdr:cNvPr>
        <xdr:cNvSpPr txBox="1"/>
      </xdr:nvSpPr>
      <xdr:spPr>
        <a:xfrm>
          <a:off x="9522178" y="6498966"/>
          <a:ext cx="170609" cy="218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Kulim Park" pitchFamily="2" charset="0"/>
              <a:ea typeface="+mn-ea"/>
              <a:cs typeface="+mn-cs"/>
            </a:rPr>
            <a:t>4</a:t>
          </a:r>
        </a:p>
      </xdr:txBody>
    </xdr:sp>
    <xdr:clientData/>
  </xdr:twoCellAnchor>
  <xdr:twoCellAnchor>
    <xdr:from>
      <xdr:col>15</xdr:col>
      <xdr:colOff>516610</xdr:colOff>
      <xdr:row>29</xdr:row>
      <xdr:rowOff>23032</xdr:rowOff>
    </xdr:from>
    <xdr:to>
      <xdr:col>17</xdr:col>
      <xdr:colOff>87757</xdr:colOff>
      <xdr:row>30</xdr:row>
      <xdr:rowOff>72907</xdr:rowOff>
    </xdr:to>
    <xdr:sp macro="" textlink="'Pivot Table'!Q15">
      <xdr:nvSpPr>
        <xdr:cNvPr id="76" name="TextBox 75">
          <a:extLst>
            <a:ext uri="{FF2B5EF4-FFF2-40B4-BE49-F238E27FC236}">
              <a16:creationId xmlns:a16="http://schemas.microsoft.com/office/drawing/2014/main" id="{4727398E-F4C5-273C-DFBD-5B02425516D2}"/>
            </a:ext>
          </a:extLst>
        </xdr:cNvPr>
        <xdr:cNvSpPr txBox="1"/>
      </xdr:nvSpPr>
      <xdr:spPr>
        <a:xfrm>
          <a:off x="9718729" y="5641168"/>
          <a:ext cx="798096" cy="243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42C70B-785E-4325-AA66-F29987874662}" type="TxLink">
            <a:rPr lang="en-US" sz="1300" b="1" i="0" u="none" strike="noStrike">
              <a:solidFill>
                <a:srgbClr val="000000"/>
              </a:solidFill>
              <a:latin typeface="Kulim Park" pitchFamily="2" charset="0"/>
              <a:ea typeface="+mn-ea"/>
              <a:cs typeface="+mn-cs"/>
            </a:rPr>
            <a:pPr marL="0" indent="0" algn="ctr"/>
            <a:t>Alice</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17</xdr:col>
      <xdr:colOff>84522</xdr:colOff>
      <xdr:row>28</xdr:row>
      <xdr:rowOff>186219</xdr:rowOff>
    </xdr:from>
    <xdr:to>
      <xdr:col>18</xdr:col>
      <xdr:colOff>359775</xdr:colOff>
      <xdr:row>30</xdr:row>
      <xdr:rowOff>101934</xdr:rowOff>
    </xdr:to>
    <xdr:sp macro="" textlink="'Pivot Table'!R15">
      <xdr:nvSpPr>
        <xdr:cNvPr id="77" name="TextBox 76">
          <a:extLst>
            <a:ext uri="{FF2B5EF4-FFF2-40B4-BE49-F238E27FC236}">
              <a16:creationId xmlns:a16="http://schemas.microsoft.com/office/drawing/2014/main" id="{6C5CD93D-6D4C-1A84-FC2D-518EB5945F69}"/>
            </a:ext>
          </a:extLst>
        </xdr:cNvPr>
        <xdr:cNvSpPr txBox="1"/>
      </xdr:nvSpPr>
      <xdr:spPr>
        <a:xfrm>
          <a:off x="10513590" y="5610626"/>
          <a:ext cx="888727" cy="30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E715BE-EB86-4E2D-A8B2-3C70D014B253}" type="TxLink">
            <a:rPr lang="en-US" sz="1300" b="1" i="0" u="none" strike="noStrike">
              <a:solidFill>
                <a:srgbClr val="000000"/>
              </a:solidFill>
              <a:latin typeface="Kulim Park" pitchFamily="2" charset="0"/>
              <a:ea typeface="+mn-ea"/>
              <a:cs typeface="+mn-cs"/>
            </a:rPr>
            <a:pPr marL="0" indent="0" algn="ctr"/>
            <a:t> $45,223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15</xdr:col>
      <xdr:colOff>516610</xdr:colOff>
      <xdr:row>31</xdr:row>
      <xdr:rowOff>62109</xdr:rowOff>
    </xdr:from>
    <xdr:to>
      <xdr:col>17</xdr:col>
      <xdr:colOff>87757</xdr:colOff>
      <xdr:row>32</xdr:row>
      <xdr:rowOff>111984</xdr:rowOff>
    </xdr:to>
    <xdr:sp macro="" textlink="'Pivot Table'!Q16">
      <xdr:nvSpPr>
        <xdr:cNvPr id="78" name="TextBox 77">
          <a:extLst>
            <a:ext uri="{FF2B5EF4-FFF2-40B4-BE49-F238E27FC236}">
              <a16:creationId xmlns:a16="http://schemas.microsoft.com/office/drawing/2014/main" id="{E712FC9F-FC4F-3529-CE57-37589E05C546}"/>
            </a:ext>
          </a:extLst>
        </xdr:cNvPr>
        <xdr:cNvSpPr txBox="1"/>
      </xdr:nvSpPr>
      <xdr:spPr>
        <a:xfrm>
          <a:off x="9718729" y="6067702"/>
          <a:ext cx="798096" cy="243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D282D5-6779-4312-82B4-BC8207FF0C4C}" type="TxLink">
            <a:rPr lang="en-US" sz="1300" b="1" i="0" u="none" strike="noStrike">
              <a:solidFill>
                <a:srgbClr val="000000"/>
              </a:solidFill>
              <a:latin typeface="Kulim Park" pitchFamily="2" charset="0"/>
              <a:ea typeface="+mn-ea"/>
              <a:cs typeface="+mn-cs"/>
            </a:rPr>
            <a:pPr marL="0" indent="0" algn="ctr"/>
            <a:t>Bob</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17</xdr:col>
      <xdr:colOff>84522</xdr:colOff>
      <xdr:row>31</xdr:row>
      <xdr:rowOff>42895</xdr:rowOff>
    </xdr:from>
    <xdr:to>
      <xdr:col>18</xdr:col>
      <xdr:colOff>359775</xdr:colOff>
      <xdr:row>32</xdr:row>
      <xdr:rowOff>150000</xdr:rowOff>
    </xdr:to>
    <xdr:sp macro="" textlink="'Pivot Table'!R16">
      <xdr:nvSpPr>
        <xdr:cNvPr id="79" name="TextBox 78">
          <a:extLst>
            <a:ext uri="{FF2B5EF4-FFF2-40B4-BE49-F238E27FC236}">
              <a16:creationId xmlns:a16="http://schemas.microsoft.com/office/drawing/2014/main" id="{8CEB9426-4ACF-D9C2-8FB8-B5C9663BFDE3}"/>
            </a:ext>
          </a:extLst>
        </xdr:cNvPr>
        <xdr:cNvSpPr txBox="1"/>
      </xdr:nvSpPr>
      <xdr:spPr>
        <a:xfrm>
          <a:off x="10513590" y="6048488"/>
          <a:ext cx="888727" cy="300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611565-06EF-4AFE-A45A-94328D60F68F}" type="TxLink">
            <a:rPr lang="en-US" sz="1300" b="1" i="0" u="none" strike="noStrike">
              <a:solidFill>
                <a:srgbClr val="000000"/>
              </a:solidFill>
              <a:latin typeface="Kulim Park" pitchFamily="2" charset="0"/>
              <a:ea typeface="+mn-ea"/>
              <a:cs typeface="+mn-cs"/>
            </a:rPr>
            <a:pPr marL="0" indent="0" algn="ctr"/>
            <a:t> $39,607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15</xdr:col>
      <xdr:colOff>516610</xdr:colOff>
      <xdr:row>33</xdr:row>
      <xdr:rowOff>101185</xdr:rowOff>
    </xdr:from>
    <xdr:to>
      <xdr:col>17</xdr:col>
      <xdr:colOff>87757</xdr:colOff>
      <xdr:row>34</xdr:row>
      <xdr:rowOff>151060</xdr:rowOff>
    </xdr:to>
    <xdr:sp macro="" textlink="'Pivot Table'!Q17">
      <xdr:nvSpPr>
        <xdr:cNvPr id="80" name="TextBox 79">
          <a:extLst>
            <a:ext uri="{FF2B5EF4-FFF2-40B4-BE49-F238E27FC236}">
              <a16:creationId xmlns:a16="http://schemas.microsoft.com/office/drawing/2014/main" id="{0D41F9A1-B6B1-7BAA-AED5-4741BA98E1F0}"/>
            </a:ext>
          </a:extLst>
        </xdr:cNvPr>
        <xdr:cNvSpPr txBox="1"/>
      </xdr:nvSpPr>
      <xdr:spPr>
        <a:xfrm>
          <a:off x="9718729" y="6494236"/>
          <a:ext cx="798096" cy="243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FB79A8-1EB5-4572-A49B-52F890D32F04}" type="TxLink">
            <a:rPr lang="en-US" sz="1300" b="1" i="0" u="none" strike="noStrike">
              <a:solidFill>
                <a:srgbClr val="000000"/>
              </a:solidFill>
              <a:latin typeface="Kulim Park" pitchFamily="2" charset="0"/>
              <a:ea typeface="+mn-ea"/>
              <a:cs typeface="+mn-cs"/>
            </a:rPr>
            <a:pPr marL="0" indent="0" algn="ctr"/>
            <a:t>Charlie</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17</xdr:col>
      <xdr:colOff>84522</xdr:colOff>
      <xdr:row>33</xdr:row>
      <xdr:rowOff>74818</xdr:rowOff>
    </xdr:from>
    <xdr:to>
      <xdr:col>18</xdr:col>
      <xdr:colOff>359775</xdr:colOff>
      <xdr:row>34</xdr:row>
      <xdr:rowOff>185151</xdr:rowOff>
    </xdr:to>
    <xdr:sp macro="" textlink="'Pivot Table'!R17">
      <xdr:nvSpPr>
        <xdr:cNvPr id="82" name="TextBox 81">
          <a:extLst>
            <a:ext uri="{FF2B5EF4-FFF2-40B4-BE49-F238E27FC236}">
              <a16:creationId xmlns:a16="http://schemas.microsoft.com/office/drawing/2014/main" id="{EFA6492A-F225-D34D-BC87-A32230E3D84B}"/>
            </a:ext>
          </a:extLst>
        </xdr:cNvPr>
        <xdr:cNvSpPr txBox="1"/>
      </xdr:nvSpPr>
      <xdr:spPr>
        <a:xfrm>
          <a:off x="10513590" y="6467869"/>
          <a:ext cx="888727" cy="30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E74DFD-B3D8-484E-AAD8-3BF49699E291}" type="TxLink">
            <a:rPr lang="en-US" sz="1300" b="1" i="0" u="none" strike="noStrike">
              <a:solidFill>
                <a:srgbClr val="000000"/>
              </a:solidFill>
              <a:latin typeface="Kulim Park" pitchFamily="2" charset="0"/>
              <a:ea typeface="+mn-ea"/>
              <a:cs typeface="+mn-cs"/>
            </a:rPr>
            <a:pPr marL="0" indent="0" algn="ctr"/>
            <a:t> $35,077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18</xdr:col>
      <xdr:colOff>545944</xdr:colOff>
      <xdr:row>3</xdr:row>
      <xdr:rowOff>38898</xdr:rowOff>
    </xdr:from>
    <xdr:to>
      <xdr:col>18</xdr:col>
      <xdr:colOff>569176</xdr:colOff>
      <xdr:row>36</xdr:row>
      <xdr:rowOff>174238</xdr:rowOff>
    </xdr:to>
    <xdr:cxnSp macro="">
      <xdr:nvCxnSpPr>
        <xdr:cNvPr id="85" name="Straight Connector 84">
          <a:extLst>
            <a:ext uri="{FF2B5EF4-FFF2-40B4-BE49-F238E27FC236}">
              <a16:creationId xmlns:a16="http://schemas.microsoft.com/office/drawing/2014/main" id="{146E95F1-1A3D-40C5-FF15-C63AE8231146}"/>
            </a:ext>
          </a:extLst>
        </xdr:cNvPr>
        <xdr:cNvCxnSpPr/>
      </xdr:nvCxnSpPr>
      <xdr:spPr>
        <a:xfrm>
          <a:off x="11418383" y="596459"/>
          <a:ext cx="23232" cy="6268511"/>
        </a:xfrm>
        <a:prstGeom prst="line">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2</xdr:col>
      <xdr:colOff>525754</xdr:colOff>
      <xdr:row>3</xdr:row>
      <xdr:rowOff>14278</xdr:rowOff>
    </xdr:from>
    <xdr:to>
      <xdr:col>4</xdr:col>
      <xdr:colOff>499482</xdr:colOff>
      <xdr:row>4</xdr:row>
      <xdr:rowOff>81311</xdr:rowOff>
    </xdr:to>
    <xdr:sp macro="" textlink="">
      <xdr:nvSpPr>
        <xdr:cNvPr id="118" name="TextBox 117">
          <a:extLst>
            <a:ext uri="{FF2B5EF4-FFF2-40B4-BE49-F238E27FC236}">
              <a16:creationId xmlns:a16="http://schemas.microsoft.com/office/drawing/2014/main" id="{5EB47B69-806B-F580-16B5-3FC0F102877B}"/>
            </a:ext>
          </a:extLst>
        </xdr:cNvPr>
        <xdr:cNvSpPr txBox="1"/>
      </xdr:nvSpPr>
      <xdr:spPr>
        <a:xfrm>
          <a:off x="1733803" y="571839"/>
          <a:ext cx="1181777" cy="2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i="0" u="none" strike="noStrike">
              <a:solidFill>
                <a:srgbClr val="022213"/>
              </a:solidFill>
              <a:latin typeface="Franklin Gothic Medium Cond" panose="020B0606030402020204" pitchFamily="34" charset="0"/>
              <a:ea typeface="Roboto Black" panose="02000000000000000000" pitchFamily="2" charset="0"/>
              <a:cs typeface="Times New Roman" panose="02020603050405020304" pitchFamily="18" charset="0"/>
            </a:rPr>
            <a:t>Dashboard</a:t>
          </a:r>
        </a:p>
      </xdr:txBody>
    </xdr:sp>
    <xdr:clientData/>
  </xdr:twoCellAnchor>
  <xdr:twoCellAnchor>
    <xdr:from>
      <xdr:col>2</xdr:col>
      <xdr:colOff>525754</xdr:colOff>
      <xdr:row>4</xdr:row>
      <xdr:rowOff>49126</xdr:rowOff>
    </xdr:from>
    <xdr:to>
      <xdr:col>6</xdr:col>
      <xdr:colOff>360090</xdr:colOff>
      <xdr:row>5</xdr:row>
      <xdr:rowOff>0</xdr:rowOff>
    </xdr:to>
    <xdr:sp macro="" textlink="">
      <xdr:nvSpPr>
        <xdr:cNvPr id="120" name="TextBox 119">
          <a:extLst>
            <a:ext uri="{FF2B5EF4-FFF2-40B4-BE49-F238E27FC236}">
              <a16:creationId xmlns:a16="http://schemas.microsoft.com/office/drawing/2014/main" id="{CBD51A9A-8AE2-C412-2CDA-AC09EF795C52}"/>
            </a:ext>
          </a:extLst>
        </xdr:cNvPr>
        <xdr:cNvSpPr txBox="1"/>
      </xdr:nvSpPr>
      <xdr:spPr>
        <a:xfrm>
          <a:off x="1733803" y="792541"/>
          <a:ext cx="2250433" cy="136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00" b="1" i="0" u="none" strike="noStrike">
              <a:solidFill>
                <a:schemeClr val="bg1">
                  <a:lumMod val="85000"/>
                </a:schemeClr>
              </a:solidFill>
              <a:latin typeface="Roboto Black" panose="02000000000000000000" pitchFamily="2" charset="0"/>
              <a:ea typeface="Roboto Black" panose="02000000000000000000" pitchFamily="2" charset="0"/>
              <a:cs typeface="Times New Roman" panose="02020603050405020304" pitchFamily="18" charset="0"/>
            </a:rPr>
            <a:t>A way to manage the department.</a:t>
          </a:r>
        </a:p>
      </xdr:txBody>
    </xdr:sp>
    <xdr:clientData/>
  </xdr:twoCellAnchor>
  <xdr:twoCellAnchor>
    <xdr:from>
      <xdr:col>3</xdr:col>
      <xdr:colOff>415484</xdr:colOff>
      <xdr:row>25</xdr:row>
      <xdr:rowOff>84846</xdr:rowOff>
    </xdr:from>
    <xdr:to>
      <xdr:col>5</xdr:col>
      <xdr:colOff>169092</xdr:colOff>
      <xdr:row>26</xdr:row>
      <xdr:rowOff>134721</xdr:rowOff>
    </xdr:to>
    <xdr:sp macro="" textlink="'Pivot Table'!E7">
      <xdr:nvSpPr>
        <xdr:cNvPr id="122" name="TextBox 121">
          <a:extLst>
            <a:ext uri="{FF2B5EF4-FFF2-40B4-BE49-F238E27FC236}">
              <a16:creationId xmlns:a16="http://schemas.microsoft.com/office/drawing/2014/main" id="{3553F253-0DDB-89C5-ED2F-B8F4C08A4FFE}"/>
            </a:ext>
          </a:extLst>
        </xdr:cNvPr>
        <xdr:cNvSpPr txBox="1"/>
      </xdr:nvSpPr>
      <xdr:spPr>
        <a:xfrm>
          <a:off x="2227557" y="4731187"/>
          <a:ext cx="961657" cy="23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F153F5-EC2E-447C-9C63-887EF6FAAAD2}" type="TxLink">
            <a:rPr lang="en-US" sz="1400" b="1" i="0" u="none" strike="noStrike">
              <a:solidFill>
                <a:srgbClr val="000000"/>
              </a:solidFill>
              <a:latin typeface="Kulim Park" pitchFamily="2" charset="0"/>
              <a:ea typeface="+mn-ea"/>
              <a:cs typeface="+mn-cs"/>
            </a:rPr>
            <a:pPr marL="0" indent="0" algn="ctr"/>
            <a:t>Clothing</a:t>
          </a:fld>
          <a:endParaRPr lang="en-US" sz="1400" b="1" i="0" u="none" strike="noStrike">
            <a:solidFill>
              <a:srgbClr val="000000"/>
            </a:solidFill>
            <a:latin typeface="Kulim Park" pitchFamily="2" charset="0"/>
            <a:ea typeface="+mn-ea"/>
            <a:cs typeface="+mn-cs"/>
          </a:endParaRPr>
        </a:p>
      </xdr:txBody>
    </xdr:sp>
    <xdr:clientData/>
  </xdr:twoCellAnchor>
  <xdr:twoCellAnchor>
    <xdr:from>
      <xdr:col>5</xdr:col>
      <xdr:colOff>284836</xdr:colOff>
      <xdr:row>25</xdr:row>
      <xdr:rowOff>58554</xdr:rowOff>
    </xdr:from>
    <xdr:to>
      <xdr:col>6</xdr:col>
      <xdr:colOff>556138</xdr:colOff>
      <xdr:row>26</xdr:row>
      <xdr:rowOff>161013</xdr:rowOff>
    </xdr:to>
    <xdr:sp macro="" textlink="'Pivot Table'!F7">
      <xdr:nvSpPr>
        <xdr:cNvPr id="123" name="TextBox 122">
          <a:extLst>
            <a:ext uri="{FF2B5EF4-FFF2-40B4-BE49-F238E27FC236}">
              <a16:creationId xmlns:a16="http://schemas.microsoft.com/office/drawing/2014/main" id="{9155DC6D-9BD5-13C6-156F-B0EBFBB1254E}"/>
            </a:ext>
          </a:extLst>
        </xdr:cNvPr>
        <xdr:cNvSpPr txBox="1"/>
      </xdr:nvSpPr>
      <xdr:spPr>
        <a:xfrm>
          <a:off x="3304958" y="4704895"/>
          <a:ext cx="875326" cy="28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7F8842-AFE6-42C5-AA6E-E98936A2BDC0}" type="TxLink">
            <a:rPr lang="en-US" sz="1300" b="1" i="0" u="none" strike="noStrike">
              <a:solidFill>
                <a:srgbClr val="000000"/>
              </a:solidFill>
              <a:latin typeface="Kulim Park" pitchFamily="2" charset="0"/>
              <a:ea typeface="+mn-ea"/>
              <a:cs typeface="+mn-cs"/>
            </a:rPr>
            <a:pPr marL="0" indent="0" algn="ctr"/>
            <a:t> $27,014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3</xdr:col>
      <xdr:colOff>496796</xdr:colOff>
      <xdr:row>28</xdr:row>
      <xdr:rowOff>26767</xdr:rowOff>
    </xdr:from>
    <xdr:to>
      <xdr:col>5</xdr:col>
      <xdr:colOff>336860</xdr:colOff>
      <xdr:row>29</xdr:row>
      <xdr:rowOff>104543</xdr:rowOff>
    </xdr:to>
    <xdr:sp macro="" textlink="'Pivot Table'!E8">
      <xdr:nvSpPr>
        <xdr:cNvPr id="124" name="TextBox 123">
          <a:extLst>
            <a:ext uri="{FF2B5EF4-FFF2-40B4-BE49-F238E27FC236}">
              <a16:creationId xmlns:a16="http://schemas.microsoft.com/office/drawing/2014/main" id="{D050A5CB-43F3-E3C3-6F24-C762361A68D3}"/>
            </a:ext>
          </a:extLst>
        </xdr:cNvPr>
        <xdr:cNvSpPr txBox="1"/>
      </xdr:nvSpPr>
      <xdr:spPr>
        <a:xfrm>
          <a:off x="2308869" y="5230669"/>
          <a:ext cx="1048113" cy="26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85D837-F699-4F9B-8A6E-B84B586F0EC8}" type="TxLink">
            <a:rPr lang="en-US" sz="1400" b="1" i="0" u="none" strike="noStrike">
              <a:solidFill>
                <a:srgbClr val="000000"/>
              </a:solidFill>
              <a:latin typeface="Kulim Park" pitchFamily="2" charset="0"/>
              <a:ea typeface="+mn-ea"/>
              <a:cs typeface="+mn-cs"/>
            </a:rPr>
            <a:pPr marL="0" indent="0" algn="ctr"/>
            <a:t>Electronics</a:t>
          </a:fld>
          <a:endParaRPr lang="en-US" sz="1400" b="1" i="0" u="none" strike="noStrike">
            <a:solidFill>
              <a:srgbClr val="000000"/>
            </a:solidFill>
            <a:latin typeface="Kulim Park" pitchFamily="2" charset="0"/>
            <a:ea typeface="+mn-ea"/>
            <a:cs typeface="+mn-cs"/>
          </a:endParaRPr>
        </a:p>
      </xdr:txBody>
    </xdr:sp>
    <xdr:clientData/>
  </xdr:twoCellAnchor>
  <xdr:twoCellAnchor>
    <xdr:from>
      <xdr:col>5</xdr:col>
      <xdr:colOff>284836</xdr:colOff>
      <xdr:row>28</xdr:row>
      <xdr:rowOff>475</xdr:rowOff>
    </xdr:from>
    <xdr:to>
      <xdr:col>6</xdr:col>
      <xdr:colOff>556138</xdr:colOff>
      <xdr:row>29</xdr:row>
      <xdr:rowOff>102934</xdr:rowOff>
    </xdr:to>
    <xdr:sp macro="" textlink="'Pivot Table'!F8">
      <xdr:nvSpPr>
        <xdr:cNvPr id="125" name="TextBox 124">
          <a:extLst>
            <a:ext uri="{FF2B5EF4-FFF2-40B4-BE49-F238E27FC236}">
              <a16:creationId xmlns:a16="http://schemas.microsoft.com/office/drawing/2014/main" id="{659958C7-323B-4F9E-ADCC-99A2072ABA57}"/>
            </a:ext>
          </a:extLst>
        </xdr:cNvPr>
        <xdr:cNvSpPr txBox="1"/>
      </xdr:nvSpPr>
      <xdr:spPr>
        <a:xfrm>
          <a:off x="3304958" y="5204377"/>
          <a:ext cx="875326" cy="28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FCCA9D-D0CD-47E8-BC7B-0E5832B0A011}" type="TxLink">
            <a:rPr lang="en-US" sz="1300" b="1" i="0" u="none" strike="noStrike">
              <a:solidFill>
                <a:srgbClr val="000000"/>
              </a:solidFill>
              <a:latin typeface="Kulim Park" pitchFamily="2" charset="0"/>
              <a:ea typeface="+mn-ea"/>
              <a:cs typeface="+mn-cs"/>
            </a:rPr>
            <a:pPr marL="0" indent="0" algn="ctr"/>
            <a:t> $39,310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3</xdr:col>
      <xdr:colOff>462830</xdr:colOff>
      <xdr:row>30</xdr:row>
      <xdr:rowOff>142925</xdr:rowOff>
    </xdr:from>
    <xdr:to>
      <xdr:col>5</xdr:col>
      <xdr:colOff>488748</xdr:colOff>
      <xdr:row>32</xdr:row>
      <xdr:rowOff>34847</xdr:rowOff>
    </xdr:to>
    <xdr:sp macro="" textlink="'Pivot Table'!E9">
      <xdr:nvSpPr>
        <xdr:cNvPr id="126" name="TextBox 125">
          <a:extLst>
            <a:ext uri="{FF2B5EF4-FFF2-40B4-BE49-F238E27FC236}">
              <a16:creationId xmlns:a16="http://schemas.microsoft.com/office/drawing/2014/main" id="{7CFE4076-1FA8-AC78-B620-BCD62BB2281B}"/>
            </a:ext>
          </a:extLst>
        </xdr:cNvPr>
        <xdr:cNvSpPr txBox="1"/>
      </xdr:nvSpPr>
      <xdr:spPr>
        <a:xfrm>
          <a:off x="2307545" y="5930267"/>
          <a:ext cx="1255728" cy="27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470170-0C57-44E9-8B89-544D7F0AA172}" type="TxLink">
            <a:rPr lang="en-US" sz="1400" b="1" i="0" u="none" strike="noStrike">
              <a:solidFill>
                <a:srgbClr val="000000"/>
              </a:solidFill>
              <a:latin typeface="Kulim Park" pitchFamily="2" charset="0"/>
              <a:ea typeface="+mn-ea"/>
              <a:cs typeface="+mn-cs"/>
            </a:rPr>
            <a:pPr marL="0" indent="0" algn="ctr"/>
            <a:t>Home Goods</a:t>
          </a:fld>
          <a:endParaRPr lang="en-US" sz="1400" b="1" i="0" u="none" strike="noStrike">
            <a:solidFill>
              <a:srgbClr val="000000"/>
            </a:solidFill>
            <a:latin typeface="Kulim Park" pitchFamily="2" charset="0"/>
            <a:ea typeface="+mn-ea"/>
            <a:cs typeface="+mn-cs"/>
          </a:endParaRPr>
        </a:p>
      </xdr:txBody>
    </xdr:sp>
    <xdr:clientData/>
  </xdr:twoCellAnchor>
  <xdr:twoCellAnchor>
    <xdr:from>
      <xdr:col>5</xdr:col>
      <xdr:colOff>284836</xdr:colOff>
      <xdr:row>30</xdr:row>
      <xdr:rowOff>152363</xdr:rowOff>
    </xdr:from>
    <xdr:to>
      <xdr:col>6</xdr:col>
      <xdr:colOff>556138</xdr:colOff>
      <xdr:row>32</xdr:row>
      <xdr:rowOff>68969</xdr:rowOff>
    </xdr:to>
    <xdr:sp macro="" textlink="'Pivot Table'!F9">
      <xdr:nvSpPr>
        <xdr:cNvPr id="127" name="TextBox 126">
          <a:extLst>
            <a:ext uri="{FF2B5EF4-FFF2-40B4-BE49-F238E27FC236}">
              <a16:creationId xmlns:a16="http://schemas.microsoft.com/office/drawing/2014/main" id="{F5506D4E-ACAA-AB0F-063F-67513088956C}"/>
            </a:ext>
          </a:extLst>
        </xdr:cNvPr>
        <xdr:cNvSpPr txBox="1"/>
      </xdr:nvSpPr>
      <xdr:spPr>
        <a:xfrm>
          <a:off x="3359361" y="5939705"/>
          <a:ext cx="886207" cy="302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ADB3A6-71BC-4946-944D-66E6514D99C3}" type="TxLink">
            <a:rPr lang="en-US" sz="1300" b="1" i="0" u="none" strike="noStrike">
              <a:solidFill>
                <a:srgbClr val="000000"/>
              </a:solidFill>
              <a:latin typeface="Kulim Park" pitchFamily="2" charset="0"/>
              <a:ea typeface="+mn-ea"/>
              <a:cs typeface="+mn-cs"/>
            </a:rPr>
            <a:pPr marL="0" indent="0" algn="ctr"/>
            <a:t> $51,360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3</xdr:col>
      <xdr:colOff>369020</xdr:colOff>
      <xdr:row>33</xdr:row>
      <xdr:rowOff>96461</xdr:rowOff>
    </xdr:from>
    <xdr:to>
      <xdr:col>5</xdr:col>
      <xdr:colOff>122628</xdr:colOff>
      <xdr:row>34</xdr:row>
      <xdr:rowOff>146337</xdr:rowOff>
    </xdr:to>
    <xdr:sp macro="" textlink="'Pivot Table'!E10">
      <xdr:nvSpPr>
        <xdr:cNvPr id="128" name="TextBox 127">
          <a:extLst>
            <a:ext uri="{FF2B5EF4-FFF2-40B4-BE49-F238E27FC236}">
              <a16:creationId xmlns:a16="http://schemas.microsoft.com/office/drawing/2014/main" id="{4F9C3148-4C63-4D20-6C3A-12353C638033}"/>
            </a:ext>
          </a:extLst>
        </xdr:cNvPr>
        <xdr:cNvSpPr txBox="1"/>
      </xdr:nvSpPr>
      <xdr:spPr>
        <a:xfrm>
          <a:off x="2181093" y="6229632"/>
          <a:ext cx="961657" cy="23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3987B8-3953-4B68-BB92-2F2635BCE598}" type="TxLink">
            <a:rPr lang="en-US" sz="1400" b="1" i="0" u="none" strike="noStrike">
              <a:solidFill>
                <a:srgbClr val="000000"/>
              </a:solidFill>
              <a:latin typeface="Kulim Park" pitchFamily="2" charset="0"/>
              <a:ea typeface="+mn-ea"/>
              <a:cs typeface="+mn-cs"/>
            </a:rPr>
            <a:pPr marL="0" indent="0" algn="ctr"/>
            <a:t>Sports</a:t>
          </a:fld>
          <a:endParaRPr lang="en-US" sz="1400" b="1" i="0" u="none" strike="noStrike">
            <a:solidFill>
              <a:srgbClr val="000000"/>
            </a:solidFill>
            <a:latin typeface="Kulim Park" pitchFamily="2" charset="0"/>
            <a:ea typeface="+mn-ea"/>
            <a:cs typeface="+mn-cs"/>
          </a:endParaRPr>
        </a:p>
      </xdr:txBody>
    </xdr:sp>
    <xdr:clientData/>
  </xdr:twoCellAnchor>
  <xdr:twoCellAnchor>
    <xdr:from>
      <xdr:col>5</xdr:col>
      <xdr:colOff>284836</xdr:colOff>
      <xdr:row>33</xdr:row>
      <xdr:rowOff>70169</xdr:rowOff>
    </xdr:from>
    <xdr:to>
      <xdr:col>6</xdr:col>
      <xdr:colOff>556138</xdr:colOff>
      <xdr:row>34</xdr:row>
      <xdr:rowOff>172629</xdr:rowOff>
    </xdr:to>
    <xdr:sp macro="" textlink="'Pivot Table'!F10">
      <xdr:nvSpPr>
        <xdr:cNvPr id="129" name="TextBox 128">
          <a:extLst>
            <a:ext uri="{FF2B5EF4-FFF2-40B4-BE49-F238E27FC236}">
              <a16:creationId xmlns:a16="http://schemas.microsoft.com/office/drawing/2014/main" id="{1BA31C68-46E3-0EE3-4802-71662FC72ADC}"/>
            </a:ext>
          </a:extLst>
        </xdr:cNvPr>
        <xdr:cNvSpPr txBox="1"/>
      </xdr:nvSpPr>
      <xdr:spPr>
        <a:xfrm>
          <a:off x="3304958" y="6203340"/>
          <a:ext cx="875326" cy="28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3ED60C-AE04-45B6-8A44-866A06879508}" type="TxLink">
            <a:rPr lang="en-US" sz="1300" b="1" i="0" u="none" strike="noStrike">
              <a:solidFill>
                <a:srgbClr val="000000"/>
              </a:solidFill>
              <a:latin typeface="Kulim Park" pitchFamily="2" charset="0"/>
              <a:ea typeface="+mn-ea"/>
              <a:cs typeface="+mn-cs"/>
            </a:rPr>
            <a:pPr marL="0" indent="0" algn="ctr"/>
            <a:t> $61,905 </a:t>
          </a:fld>
          <a:endParaRPr lang="en-US" sz="1300" b="1" i="0" u="none" strike="noStrike">
            <a:solidFill>
              <a:srgbClr val="000000"/>
            </a:solidFill>
            <a:latin typeface="Kulim Park" pitchFamily="2" charset="0"/>
            <a:ea typeface="+mn-ea"/>
            <a:cs typeface="+mn-cs"/>
          </a:endParaRPr>
        </a:p>
      </xdr:txBody>
    </xdr:sp>
    <xdr:clientData/>
  </xdr:twoCellAnchor>
  <xdr:twoCellAnchor>
    <xdr:from>
      <xdr:col>19</xdr:col>
      <xdr:colOff>94230</xdr:colOff>
      <xdr:row>3</xdr:row>
      <xdr:rowOff>172349</xdr:rowOff>
    </xdr:from>
    <xdr:to>
      <xdr:col>24</xdr:col>
      <xdr:colOff>58079</xdr:colOff>
      <xdr:row>23</xdr:row>
      <xdr:rowOff>46464</xdr:rowOff>
    </xdr:to>
    <xdr:sp macro="" textlink="">
      <xdr:nvSpPr>
        <xdr:cNvPr id="130" name="Rectangle: Rounded Corners 129">
          <a:extLst>
            <a:ext uri="{FF2B5EF4-FFF2-40B4-BE49-F238E27FC236}">
              <a16:creationId xmlns:a16="http://schemas.microsoft.com/office/drawing/2014/main" id="{5310F757-D346-7394-10DA-5624371ED600}"/>
            </a:ext>
          </a:extLst>
        </xdr:cNvPr>
        <xdr:cNvSpPr/>
      </xdr:nvSpPr>
      <xdr:spPr>
        <a:xfrm>
          <a:off x="11610821" y="729005"/>
          <a:ext cx="2994531" cy="3585154"/>
        </a:xfrm>
        <a:prstGeom prst="roundRect">
          <a:avLst>
            <a:gd name="adj" fmla="val 7223"/>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548863</xdr:colOff>
      <xdr:row>3</xdr:row>
      <xdr:rowOff>86760</xdr:rowOff>
    </xdr:from>
    <xdr:to>
      <xdr:col>24</xdr:col>
      <xdr:colOff>197070</xdr:colOff>
      <xdr:row>18</xdr:row>
      <xdr:rowOff>76639</xdr:rowOff>
    </xdr:to>
    <xdr:graphicFrame macro="">
      <xdr:nvGraphicFramePr>
        <xdr:cNvPr id="131" name="Chart 130">
          <a:extLst>
            <a:ext uri="{FF2B5EF4-FFF2-40B4-BE49-F238E27FC236}">
              <a16:creationId xmlns:a16="http://schemas.microsoft.com/office/drawing/2014/main" id="{BFFD8D3F-1D11-436A-97EF-3C518C47F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197882</xdr:colOff>
      <xdr:row>18</xdr:row>
      <xdr:rowOff>49900</xdr:rowOff>
    </xdr:from>
    <xdr:to>
      <xdr:col>23</xdr:col>
      <xdr:colOff>554932</xdr:colOff>
      <xdr:row>19</xdr:row>
      <xdr:rowOff>79501</xdr:rowOff>
    </xdr:to>
    <xdr:sp macro="" textlink="">
      <xdr:nvSpPr>
        <xdr:cNvPr id="132" name="TextBox 131">
          <a:extLst>
            <a:ext uri="{FF2B5EF4-FFF2-40B4-BE49-F238E27FC236}">
              <a16:creationId xmlns:a16="http://schemas.microsoft.com/office/drawing/2014/main" id="{315BAFE9-907F-A0A4-C15F-7AAD772B5D85}"/>
            </a:ext>
          </a:extLst>
        </xdr:cNvPr>
        <xdr:cNvSpPr txBox="1"/>
      </xdr:nvSpPr>
      <xdr:spPr>
        <a:xfrm>
          <a:off x="11846848" y="3400072"/>
          <a:ext cx="2809463" cy="215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bg1">
                  <a:lumMod val="65000"/>
                </a:schemeClr>
              </a:solidFill>
              <a:effectLst/>
              <a:latin typeface="Kulim Park" pitchFamily="2" charset="0"/>
              <a:ea typeface="+mn-ea"/>
              <a:cs typeface="+mn-cs"/>
            </a:rPr>
            <a:t>Percentage of order based on the status</a:t>
          </a:r>
          <a:endParaRPr lang="en-US">
            <a:solidFill>
              <a:schemeClr val="bg1">
                <a:lumMod val="65000"/>
              </a:schemeClr>
            </a:solidFill>
            <a:effectLst/>
            <a:latin typeface="Kulim Park" pitchFamily="2" charset="0"/>
          </a:endParaRPr>
        </a:p>
      </xdr:txBody>
    </xdr:sp>
    <xdr:clientData/>
  </xdr:twoCellAnchor>
  <xdr:twoCellAnchor>
    <xdr:from>
      <xdr:col>22</xdr:col>
      <xdr:colOff>280432</xdr:colOff>
      <xdr:row>21</xdr:row>
      <xdr:rowOff>96426</xdr:rowOff>
    </xdr:from>
    <xdr:to>
      <xdr:col>22</xdr:col>
      <xdr:colOff>386957</xdr:colOff>
      <xdr:row>22</xdr:row>
      <xdr:rowOff>13260</xdr:rowOff>
    </xdr:to>
    <xdr:sp macro="" textlink="">
      <xdr:nvSpPr>
        <xdr:cNvPr id="134" name="Oval 133">
          <a:extLst>
            <a:ext uri="{FF2B5EF4-FFF2-40B4-BE49-F238E27FC236}">
              <a16:creationId xmlns:a16="http://schemas.microsoft.com/office/drawing/2014/main" id="{E460E801-1C00-F537-124B-013B6C066B71}"/>
            </a:ext>
          </a:extLst>
        </xdr:cNvPr>
        <xdr:cNvSpPr/>
      </xdr:nvSpPr>
      <xdr:spPr>
        <a:xfrm>
          <a:off x="13723262" y="4059185"/>
          <a:ext cx="106525" cy="105537"/>
        </a:xfrm>
        <a:prstGeom prst="ellipse">
          <a:avLst/>
        </a:prstGeom>
        <a:solidFill>
          <a:srgbClr val="02221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20</xdr:col>
      <xdr:colOff>441584</xdr:colOff>
      <xdr:row>21</xdr:row>
      <xdr:rowOff>96426</xdr:rowOff>
    </xdr:from>
    <xdr:to>
      <xdr:col>20</xdr:col>
      <xdr:colOff>548109</xdr:colOff>
      <xdr:row>22</xdr:row>
      <xdr:rowOff>13260</xdr:rowOff>
    </xdr:to>
    <xdr:sp macro="" textlink="">
      <xdr:nvSpPr>
        <xdr:cNvPr id="138" name="Oval 137">
          <a:extLst>
            <a:ext uri="{FF2B5EF4-FFF2-40B4-BE49-F238E27FC236}">
              <a16:creationId xmlns:a16="http://schemas.microsoft.com/office/drawing/2014/main" id="{153C40B2-190D-3938-AD40-32DD802E21FF}"/>
            </a:ext>
          </a:extLst>
        </xdr:cNvPr>
        <xdr:cNvSpPr/>
      </xdr:nvSpPr>
      <xdr:spPr>
        <a:xfrm>
          <a:off x="12662339" y="4059185"/>
          <a:ext cx="106525" cy="105537"/>
        </a:xfrm>
        <a:prstGeom prst="ellipse">
          <a:avLst/>
        </a:prstGeom>
        <a:solidFill>
          <a:srgbClr val="AFE0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19</xdr:col>
      <xdr:colOff>306923</xdr:colOff>
      <xdr:row>21</xdr:row>
      <xdr:rowOff>39924</xdr:rowOff>
    </xdr:from>
    <xdr:to>
      <xdr:col>20</xdr:col>
      <xdr:colOff>445914</xdr:colOff>
      <xdr:row>22</xdr:row>
      <xdr:rowOff>67620</xdr:rowOff>
    </xdr:to>
    <xdr:sp macro="" textlink="">
      <xdr:nvSpPr>
        <xdr:cNvPr id="139" name="TextBox 138">
          <a:extLst>
            <a:ext uri="{FF2B5EF4-FFF2-40B4-BE49-F238E27FC236}">
              <a16:creationId xmlns:a16="http://schemas.microsoft.com/office/drawing/2014/main" id="{70713706-6F5E-5ECA-098D-4B63E48E0B20}"/>
            </a:ext>
          </a:extLst>
        </xdr:cNvPr>
        <xdr:cNvSpPr txBox="1"/>
      </xdr:nvSpPr>
      <xdr:spPr>
        <a:xfrm>
          <a:off x="11990119" y="4091063"/>
          <a:ext cx="753896" cy="22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50" b="1">
              <a:solidFill>
                <a:srgbClr val="022213"/>
              </a:solidFill>
              <a:latin typeface="Kulim Park" pitchFamily="2" charset="0"/>
            </a:rPr>
            <a:t>Pending</a:t>
          </a:r>
        </a:p>
      </xdr:txBody>
    </xdr:sp>
    <xdr:clientData/>
  </xdr:twoCellAnchor>
  <xdr:twoCellAnchor>
    <xdr:from>
      <xdr:col>19</xdr:col>
      <xdr:colOff>231686</xdr:colOff>
      <xdr:row>21</xdr:row>
      <xdr:rowOff>96426</xdr:rowOff>
    </xdr:from>
    <xdr:to>
      <xdr:col>19</xdr:col>
      <xdr:colOff>338211</xdr:colOff>
      <xdr:row>22</xdr:row>
      <xdr:rowOff>13260</xdr:rowOff>
    </xdr:to>
    <xdr:sp macro="" textlink="">
      <xdr:nvSpPr>
        <xdr:cNvPr id="140" name="Oval 139">
          <a:extLst>
            <a:ext uri="{FF2B5EF4-FFF2-40B4-BE49-F238E27FC236}">
              <a16:creationId xmlns:a16="http://schemas.microsoft.com/office/drawing/2014/main" id="{E275F887-1296-C2E4-DEBB-A2DC4B14D986}"/>
            </a:ext>
          </a:extLst>
        </xdr:cNvPr>
        <xdr:cNvSpPr/>
      </xdr:nvSpPr>
      <xdr:spPr>
        <a:xfrm>
          <a:off x="11841403" y="4059185"/>
          <a:ext cx="106525" cy="105537"/>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tx1"/>
            </a:solidFill>
          </a:endParaRPr>
        </a:p>
      </xdr:txBody>
    </xdr:sp>
    <xdr:clientData/>
  </xdr:twoCellAnchor>
  <xdr:twoCellAnchor>
    <xdr:from>
      <xdr:col>19</xdr:col>
      <xdr:colOff>242618</xdr:colOff>
      <xdr:row>20</xdr:row>
      <xdr:rowOff>8986</xdr:rowOff>
    </xdr:from>
    <xdr:to>
      <xdr:col>23</xdr:col>
      <xdr:colOff>458278</xdr:colOff>
      <xdr:row>20</xdr:row>
      <xdr:rowOff>17971</xdr:rowOff>
    </xdr:to>
    <xdr:cxnSp macro="">
      <xdr:nvCxnSpPr>
        <xdr:cNvPr id="141" name="Straight Connector 140">
          <a:extLst>
            <a:ext uri="{FF2B5EF4-FFF2-40B4-BE49-F238E27FC236}">
              <a16:creationId xmlns:a16="http://schemas.microsoft.com/office/drawing/2014/main" id="{752303AB-7099-1204-C72A-9949D0209CEA}"/>
            </a:ext>
          </a:extLst>
        </xdr:cNvPr>
        <xdr:cNvCxnSpPr/>
      </xdr:nvCxnSpPr>
      <xdr:spPr>
        <a:xfrm>
          <a:off x="11852335" y="3783043"/>
          <a:ext cx="2659811" cy="8985"/>
        </a:xfrm>
        <a:prstGeom prst="line">
          <a:avLst/>
        </a:prstGeom>
        <a:noFill/>
        <a:ln w="158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19</xdr:col>
      <xdr:colOff>120429</xdr:colOff>
      <xdr:row>23</xdr:row>
      <xdr:rowOff>162465</xdr:rowOff>
    </xdr:from>
    <xdr:to>
      <xdr:col>24</xdr:col>
      <xdr:colOff>49480</xdr:colOff>
      <xdr:row>35</xdr:row>
      <xdr:rowOff>111332</xdr:rowOff>
    </xdr:to>
    <xdr:sp macro="" textlink="">
      <xdr:nvSpPr>
        <xdr:cNvPr id="148" name="Rectangle: Rounded Corners 147">
          <a:extLst>
            <a:ext uri="{FF2B5EF4-FFF2-40B4-BE49-F238E27FC236}">
              <a16:creationId xmlns:a16="http://schemas.microsoft.com/office/drawing/2014/main" id="{C454B2CF-412E-374F-E95A-0BABB50E7283}"/>
            </a:ext>
          </a:extLst>
        </xdr:cNvPr>
        <xdr:cNvSpPr/>
      </xdr:nvSpPr>
      <xdr:spPr>
        <a:xfrm>
          <a:off x="11637020" y="4430160"/>
          <a:ext cx="2959733" cy="2175490"/>
        </a:xfrm>
        <a:prstGeom prst="roundRect">
          <a:avLst>
            <a:gd name="adj" fmla="val 7019"/>
          </a:avLst>
        </a:prstGeom>
        <a:solidFill>
          <a:srgbClr val="D8D9C7"/>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255053</xdr:colOff>
      <xdr:row>24</xdr:row>
      <xdr:rowOff>158844</xdr:rowOff>
    </xdr:from>
    <xdr:to>
      <xdr:col>19</xdr:col>
      <xdr:colOff>361578</xdr:colOff>
      <xdr:row>25</xdr:row>
      <xdr:rowOff>78829</xdr:rowOff>
    </xdr:to>
    <xdr:sp macro="" textlink="">
      <xdr:nvSpPr>
        <xdr:cNvPr id="150" name="Oval 149">
          <a:extLst>
            <a:ext uri="{FF2B5EF4-FFF2-40B4-BE49-F238E27FC236}">
              <a16:creationId xmlns:a16="http://schemas.microsoft.com/office/drawing/2014/main" id="{39C629C9-AD0D-1F97-8715-F1AFDD3007BF}"/>
            </a:ext>
          </a:extLst>
        </xdr:cNvPr>
        <xdr:cNvSpPr/>
      </xdr:nvSpPr>
      <xdr:spPr>
        <a:xfrm>
          <a:off x="11771644" y="4612091"/>
          <a:ext cx="106525" cy="105537"/>
        </a:xfrm>
        <a:prstGeom prst="ellipse">
          <a:avLst/>
        </a:prstGeom>
        <a:solidFill>
          <a:srgbClr val="8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209242</xdr:colOff>
      <xdr:row>25</xdr:row>
      <xdr:rowOff>154055</xdr:rowOff>
    </xdr:from>
    <xdr:to>
      <xdr:col>21</xdr:col>
      <xdr:colOff>408214</xdr:colOff>
      <xdr:row>29</xdr:row>
      <xdr:rowOff>86591</xdr:rowOff>
    </xdr:to>
    <xdr:sp macro="" textlink="">
      <xdr:nvSpPr>
        <xdr:cNvPr id="151" name="TextBox 150">
          <a:extLst>
            <a:ext uri="{FF2B5EF4-FFF2-40B4-BE49-F238E27FC236}">
              <a16:creationId xmlns:a16="http://schemas.microsoft.com/office/drawing/2014/main" id="{FDB8ABEE-5874-D500-875C-4FF76B92187A}"/>
            </a:ext>
          </a:extLst>
        </xdr:cNvPr>
        <xdr:cNvSpPr txBox="1"/>
      </xdr:nvSpPr>
      <xdr:spPr>
        <a:xfrm>
          <a:off x="11725833" y="4792854"/>
          <a:ext cx="1411245" cy="674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i="0" u="none" strike="noStrike">
              <a:solidFill>
                <a:schemeClr val="tx1"/>
              </a:solidFill>
              <a:latin typeface="Kulim Park" pitchFamily="2" charset="0"/>
              <a:ea typeface="+mn-ea"/>
              <a:cs typeface="+mn-cs"/>
            </a:rPr>
            <a:t>Quantity of Unit Sold</a:t>
          </a:r>
        </a:p>
      </xdr:txBody>
    </xdr:sp>
    <xdr:clientData/>
  </xdr:twoCellAnchor>
  <xdr:twoCellAnchor>
    <xdr:from>
      <xdr:col>19</xdr:col>
      <xdr:colOff>259990</xdr:colOff>
      <xdr:row>29</xdr:row>
      <xdr:rowOff>97149</xdr:rowOff>
    </xdr:from>
    <xdr:to>
      <xdr:col>23</xdr:col>
      <xdr:colOff>506393</xdr:colOff>
      <xdr:row>31</xdr:row>
      <xdr:rowOff>147502</xdr:rowOff>
    </xdr:to>
    <xdr:sp macro="" textlink="">
      <xdr:nvSpPr>
        <xdr:cNvPr id="152" name="TextBox 151">
          <a:extLst>
            <a:ext uri="{FF2B5EF4-FFF2-40B4-BE49-F238E27FC236}">
              <a16:creationId xmlns:a16="http://schemas.microsoft.com/office/drawing/2014/main" id="{79DCE588-BBE8-644B-74D5-EBF71F9909C2}"/>
            </a:ext>
          </a:extLst>
        </xdr:cNvPr>
        <xdr:cNvSpPr txBox="1"/>
      </xdr:nvSpPr>
      <xdr:spPr>
        <a:xfrm>
          <a:off x="11943186" y="5691579"/>
          <a:ext cx="2706023" cy="4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tx1"/>
              </a:solidFill>
              <a:latin typeface="Kulim Park" pitchFamily="2" charset="0"/>
            </a:rPr>
            <a:t>Overal ontime quantity sold across all regions.</a:t>
          </a:r>
        </a:p>
      </xdr:txBody>
    </xdr:sp>
    <xdr:clientData/>
  </xdr:twoCellAnchor>
  <xdr:twoCellAnchor>
    <xdr:from>
      <xdr:col>21</xdr:col>
      <xdr:colOff>225386</xdr:colOff>
      <xdr:row>31</xdr:row>
      <xdr:rowOff>99753</xdr:rowOff>
    </xdr:from>
    <xdr:to>
      <xdr:col>23</xdr:col>
      <xdr:colOff>535689</xdr:colOff>
      <xdr:row>35</xdr:row>
      <xdr:rowOff>32288</xdr:rowOff>
    </xdr:to>
    <xdr:sp macro="" textlink="'Pivot Table'!V15">
      <xdr:nvSpPr>
        <xdr:cNvPr id="153" name="TextBox 152">
          <a:extLst>
            <a:ext uri="{FF2B5EF4-FFF2-40B4-BE49-F238E27FC236}">
              <a16:creationId xmlns:a16="http://schemas.microsoft.com/office/drawing/2014/main" id="{1744D500-27C4-C320-8105-8B8ADE48D7F3}"/>
            </a:ext>
          </a:extLst>
        </xdr:cNvPr>
        <xdr:cNvSpPr txBox="1"/>
      </xdr:nvSpPr>
      <xdr:spPr>
        <a:xfrm>
          <a:off x="13108352" y="6105346"/>
          <a:ext cx="1537252" cy="70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5CC336-8B39-456D-8E41-906492D8B0C1}" type="TxLink">
            <a:rPr lang="en-US" sz="4400" b="1" i="0" u="none" strike="noStrike">
              <a:solidFill>
                <a:schemeClr val="tx1"/>
              </a:solidFill>
              <a:latin typeface="Kulim Park" pitchFamily="2" charset="0"/>
              <a:ea typeface="+mn-ea"/>
              <a:cs typeface="+mn-cs"/>
            </a:rPr>
            <a:pPr marL="0" indent="0" algn="ctr"/>
            <a:t>800</a:t>
          </a:fld>
          <a:endParaRPr lang="en-US" sz="4400" b="1" i="0" u="none" strike="noStrike">
            <a:solidFill>
              <a:schemeClr val="tx1"/>
            </a:solidFill>
            <a:latin typeface="Kulim Park" pitchFamily="2" charset="0"/>
            <a:ea typeface="+mn-ea"/>
            <a:cs typeface="+mn-cs"/>
          </a:endParaRPr>
        </a:p>
      </xdr:txBody>
    </xdr:sp>
    <xdr:clientData/>
  </xdr:twoCellAnchor>
  <xdr:twoCellAnchor>
    <xdr:from>
      <xdr:col>21</xdr:col>
      <xdr:colOff>306279</xdr:colOff>
      <xdr:row>1</xdr:row>
      <xdr:rowOff>16678</xdr:rowOff>
    </xdr:from>
    <xdr:to>
      <xdr:col>23</xdr:col>
      <xdr:colOff>585464</xdr:colOff>
      <xdr:row>2</xdr:row>
      <xdr:rowOff>123964</xdr:rowOff>
    </xdr:to>
    <xdr:grpSp>
      <xdr:nvGrpSpPr>
        <xdr:cNvPr id="162" name="Group 161">
          <a:hlinkClick xmlns:r="http://schemas.openxmlformats.org/officeDocument/2006/relationships" r:id="rId13"/>
          <a:extLst>
            <a:ext uri="{FF2B5EF4-FFF2-40B4-BE49-F238E27FC236}">
              <a16:creationId xmlns:a16="http://schemas.microsoft.com/office/drawing/2014/main" id="{C0E9031E-9918-F106-0A78-56B7E3420D14}"/>
            </a:ext>
          </a:extLst>
        </xdr:cNvPr>
        <xdr:cNvGrpSpPr/>
      </xdr:nvGrpSpPr>
      <xdr:grpSpPr>
        <a:xfrm>
          <a:off x="12990791" y="202532"/>
          <a:ext cx="1487234" cy="293139"/>
          <a:chOff x="13165029" y="208464"/>
          <a:chExt cx="1503828" cy="299023"/>
        </a:xfrm>
      </xdr:grpSpPr>
      <xdr:sp macro="" textlink="'Pivot Table'!#REF!">
        <xdr:nvSpPr>
          <xdr:cNvPr id="154" name="TextBox 153">
            <a:extLst>
              <a:ext uri="{FF2B5EF4-FFF2-40B4-BE49-F238E27FC236}">
                <a16:creationId xmlns:a16="http://schemas.microsoft.com/office/drawing/2014/main" id="{BF31D40F-9D16-0CD0-976B-3CBCEDFF378D}"/>
              </a:ext>
            </a:extLst>
          </xdr:cNvPr>
          <xdr:cNvSpPr txBox="1"/>
        </xdr:nvSpPr>
        <xdr:spPr>
          <a:xfrm>
            <a:off x="13199910" y="226612"/>
            <a:ext cx="1203633" cy="258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i="0" u="none" strike="noStrike">
                <a:solidFill>
                  <a:srgbClr val="022213"/>
                </a:solidFill>
                <a:latin typeface="Kulim Park" pitchFamily="2" charset="0"/>
                <a:ea typeface="Roboto Black" panose="02000000000000000000" pitchFamily="2" charset="0"/>
                <a:cs typeface="Times New Roman" panose="02020603050405020304" pitchFamily="18" charset="0"/>
              </a:rPr>
              <a:t>T</a:t>
            </a:r>
            <a:r>
              <a:rPr lang="en-US" sz="1200" b="1" i="0" u="none" strike="noStrike" baseline="0">
                <a:solidFill>
                  <a:srgbClr val="022213"/>
                </a:solidFill>
                <a:latin typeface="Kulim Park" pitchFamily="2" charset="0"/>
                <a:ea typeface="Roboto Black" panose="02000000000000000000" pitchFamily="2" charset="0"/>
                <a:cs typeface="Times New Roman" panose="02020603050405020304" pitchFamily="18" charset="0"/>
              </a:rPr>
              <a:t>able of Data</a:t>
            </a:r>
            <a:endParaRPr lang="en-US" sz="1200" b="1" i="0" u="none" strike="noStrike">
              <a:solidFill>
                <a:srgbClr val="022213"/>
              </a:solidFill>
              <a:latin typeface="Kulim Park" pitchFamily="2" charset="0"/>
              <a:ea typeface="Roboto Black" panose="02000000000000000000" pitchFamily="2" charset="0"/>
              <a:cs typeface="Times New Roman" panose="02020603050405020304" pitchFamily="18" charset="0"/>
            </a:endParaRPr>
          </a:p>
        </xdr:txBody>
      </xdr:sp>
      <xdr:sp macro="" textlink="">
        <xdr:nvSpPr>
          <xdr:cNvPr id="157" name="Rectangle: Rounded Corners 156">
            <a:extLst>
              <a:ext uri="{FF2B5EF4-FFF2-40B4-BE49-F238E27FC236}">
                <a16:creationId xmlns:a16="http://schemas.microsoft.com/office/drawing/2014/main" id="{66382234-3A09-EDE6-EC03-10449E123D24}"/>
              </a:ext>
            </a:extLst>
          </xdr:cNvPr>
          <xdr:cNvSpPr/>
        </xdr:nvSpPr>
        <xdr:spPr>
          <a:xfrm>
            <a:off x="13165029" y="208464"/>
            <a:ext cx="1503828" cy="299023"/>
          </a:xfrm>
          <a:prstGeom prst="roundRect">
            <a:avLst>
              <a:gd name="adj" fmla="val 33823"/>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8" name="Oval 157">
            <a:extLst>
              <a:ext uri="{FF2B5EF4-FFF2-40B4-BE49-F238E27FC236}">
                <a16:creationId xmlns:a16="http://schemas.microsoft.com/office/drawing/2014/main" id="{7DC63939-A5DF-EFDC-3C93-042280D40841}"/>
              </a:ext>
            </a:extLst>
          </xdr:cNvPr>
          <xdr:cNvSpPr/>
        </xdr:nvSpPr>
        <xdr:spPr>
          <a:xfrm>
            <a:off x="14342529" y="240763"/>
            <a:ext cx="231121" cy="212747"/>
          </a:xfrm>
          <a:prstGeom prst="ellipse">
            <a:avLst/>
          </a:prstGeom>
          <a:solidFill>
            <a:srgbClr val="0099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1" name="L-Shape 160">
            <a:extLst>
              <a:ext uri="{FF2B5EF4-FFF2-40B4-BE49-F238E27FC236}">
                <a16:creationId xmlns:a16="http://schemas.microsoft.com/office/drawing/2014/main" id="{5AA8DD46-0299-E476-5D3D-2073274D16D9}"/>
              </a:ext>
            </a:extLst>
          </xdr:cNvPr>
          <xdr:cNvSpPr/>
        </xdr:nvSpPr>
        <xdr:spPr>
          <a:xfrm rot="13725208">
            <a:off x="14397249" y="294624"/>
            <a:ext cx="104715" cy="104196"/>
          </a:xfrm>
          <a:prstGeom prst="corne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523436</xdr:colOff>
      <xdr:row>3</xdr:row>
      <xdr:rowOff>79712</xdr:rowOff>
    </xdr:from>
    <xdr:to>
      <xdr:col>18</xdr:col>
      <xdr:colOff>357186</xdr:colOff>
      <xdr:row>4</xdr:row>
      <xdr:rowOff>178594</xdr:rowOff>
    </xdr:to>
    <xdr:sp macro="" textlink="">
      <xdr:nvSpPr>
        <xdr:cNvPr id="163" name="Rectangle: Rounded Corners 162">
          <a:extLst>
            <a:ext uri="{FF2B5EF4-FFF2-40B4-BE49-F238E27FC236}">
              <a16:creationId xmlns:a16="http://schemas.microsoft.com/office/drawing/2014/main" id="{66CC8545-8F6E-4DE5-26ED-2785B2D9FD1B}"/>
            </a:ext>
          </a:extLst>
        </xdr:cNvPr>
        <xdr:cNvSpPr/>
      </xdr:nvSpPr>
      <xdr:spPr>
        <a:xfrm>
          <a:off x="9631717" y="651212"/>
          <a:ext cx="1655407" cy="289382"/>
        </a:xfrm>
        <a:prstGeom prst="roundRect">
          <a:avLst>
            <a:gd name="adj" fmla="val 13832"/>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559594</xdr:colOff>
      <xdr:row>3</xdr:row>
      <xdr:rowOff>107156</xdr:rowOff>
    </xdr:from>
    <xdr:to>
      <xdr:col>16</xdr:col>
      <xdr:colOff>178594</xdr:colOff>
      <xdr:row>4</xdr:row>
      <xdr:rowOff>142875</xdr:rowOff>
    </xdr:to>
    <xdr:pic>
      <xdr:nvPicPr>
        <xdr:cNvPr id="165" name="Graphic 164" descr="Daily calendar with solid fill">
          <a:extLst>
            <a:ext uri="{FF2B5EF4-FFF2-40B4-BE49-F238E27FC236}">
              <a16:creationId xmlns:a16="http://schemas.microsoft.com/office/drawing/2014/main" id="{B9C37995-E5B5-F795-6C83-66142C2DF9D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67875" y="678656"/>
          <a:ext cx="226219" cy="226219"/>
        </a:xfrm>
        <a:prstGeom prst="rect">
          <a:avLst/>
        </a:prstGeom>
      </xdr:spPr>
    </xdr:pic>
    <xdr:clientData/>
  </xdr:twoCellAnchor>
  <xdr:twoCellAnchor>
    <xdr:from>
      <xdr:col>0</xdr:col>
      <xdr:colOff>556325</xdr:colOff>
      <xdr:row>3</xdr:row>
      <xdr:rowOff>152594</xdr:rowOff>
    </xdr:from>
    <xdr:to>
      <xdr:col>1</xdr:col>
      <xdr:colOff>580794</xdr:colOff>
      <xdr:row>4</xdr:row>
      <xdr:rowOff>127773</xdr:rowOff>
    </xdr:to>
    <xdr:sp macro="" textlink="">
      <xdr:nvSpPr>
        <xdr:cNvPr id="170" name="TextBox 169">
          <a:extLst>
            <a:ext uri="{FF2B5EF4-FFF2-40B4-BE49-F238E27FC236}">
              <a16:creationId xmlns:a16="http://schemas.microsoft.com/office/drawing/2014/main" id="{84E8F3D7-7B5E-FD50-BA5C-92CD4A43C762}"/>
            </a:ext>
          </a:extLst>
        </xdr:cNvPr>
        <xdr:cNvSpPr txBox="1"/>
      </xdr:nvSpPr>
      <xdr:spPr>
        <a:xfrm>
          <a:off x="556325" y="710155"/>
          <a:ext cx="628493" cy="161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chemeClr val="bg1"/>
              </a:solidFill>
              <a:latin typeface="Kulim Park" pitchFamily="2" charset="0"/>
            </a:rPr>
            <a:t>Menu</a:t>
          </a:r>
          <a:r>
            <a:rPr lang="en-US" sz="1400" b="1" i="0" u="none" strike="noStrike">
              <a:solidFill>
                <a:schemeClr val="tx1"/>
              </a:solidFill>
              <a:latin typeface="Kulim Park" pitchFamily="2" charset="0"/>
            </a:rPr>
            <a:t> </a:t>
          </a:r>
        </a:p>
      </xdr:txBody>
    </xdr:sp>
    <xdr:clientData/>
  </xdr:twoCellAnchor>
  <xdr:twoCellAnchor editAs="oneCell">
    <xdr:from>
      <xdr:col>0</xdr:col>
      <xdr:colOff>91619</xdr:colOff>
      <xdr:row>17</xdr:row>
      <xdr:rowOff>83955</xdr:rowOff>
    </xdr:from>
    <xdr:to>
      <xdr:col>2</xdr:col>
      <xdr:colOff>395845</xdr:colOff>
      <xdr:row>24</xdr:row>
      <xdr:rowOff>143909</xdr:rowOff>
    </xdr:to>
    <mc:AlternateContent xmlns:mc="http://schemas.openxmlformats.org/markup-compatibility/2006" xmlns:a14="http://schemas.microsoft.com/office/drawing/2010/main">
      <mc:Choice Requires="a14">
        <xdr:graphicFrame macro="">
          <xdr:nvGraphicFramePr>
            <xdr:cNvPr id="172" name="Payment Method">
              <a:extLst>
                <a:ext uri="{FF2B5EF4-FFF2-40B4-BE49-F238E27FC236}">
                  <a16:creationId xmlns:a16="http://schemas.microsoft.com/office/drawing/2014/main" id="{1D16C8B9-EF0C-4E28-B4DD-16441035395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1619" y="3243467"/>
              <a:ext cx="1512275" cy="1360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105571</xdr:colOff>
      <xdr:row>7</xdr:row>
      <xdr:rowOff>166215</xdr:rowOff>
    </xdr:from>
    <xdr:to>
      <xdr:col>2</xdr:col>
      <xdr:colOff>357152</xdr:colOff>
      <xdr:row>15</xdr:row>
      <xdr:rowOff>29278</xdr:rowOff>
    </xdr:to>
    <mc:AlternateContent xmlns:mc="http://schemas.openxmlformats.org/markup-compatibility/2006" xmlns:a14="http://schemas.microsoft.com/office/drawing/2010/main">
      <mc:Choice Requires="a14">
        <xdr:graphicFrame macro="">
          <xdr:nvGraphicFramePr>
            <xdr:cNvPr id="173" name="Customer Type">
              <a:extLst>
                <a:ext uri="{FF2B5EF4-FFF2-40B4-BE49-F238E27FC236}">
                  <a16:creationId xmlns:a16="http://schemas.microsoft.com/office/drawing/2014/main" id="{59D3205A-4799-4DFE-9FB6-A1D7D2B1D1A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5571" y="1467191"/>
              <a:ext cx="1459630" cy="1349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131396</xdr:colOff>
      <xdr:row>6</xdr:row>
      <xdr:rowOff>15000</xdr:rowOff>
    </xdr:from>
    <xdr:to>
      <xdr:col>2</xdr:col>
      <xdr:colOff>329318</xdr:colOff>
      <xdr:row>7</xdr:row>
      <xdr:rowOff>39740</xdr:rowOff>
    </xdr:to>
    <xdr:sp macro="" textlink="">
      <xdr:nvSpPr>
        <xdr:cNvPr id="174" name="TextBox 173">
          <a:extLst>
            <a:ext uri="{FF2B5EF4-FFF2-40B4-BE49-F238E27FC236}">
              <a16:creationId xmlns:a16="http://schemas.microsoft.com/office/drawing/2014/main" id="{3183B1E7-800A-5C25-0A51-84BE6A0C3A99}"/>
            </a:ext>
          </a:extLst>
        </xdr:cNvPr>
        <xdr:cNvSpPr txBox="1"/>
      </xdr:nvSpPr>
      <xdr:spPr>
        <a:xfrm>
          <a:off x="131396" y="1130122"/>
          <a:ext cx="1405971" cy="21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bg1"/>
              </a:solidFill>
              <a:latin typeface="Kulim Park" pitchFamily="2" charset="0"/>
            </a:rPr>
            <a:t>Customer Type</a:t>
          </a:r>
          <a:endParaRPr lang="en-US" sz="1200" b="0" i="0" u="none" strike="noStrike">
            <a:solidFill>
              <a:schemeClr val="tx1"/>
            </a:solidFill>
            <a:latin typeface="Kulim Park" pitchFamily="2" charset="0"/>
          </a:endParaRPr>
        </a:p>
      </xdr:txBody>
    </xdr:sp>
    <xdr:clientData/>
  </xdr:twoCellAnchor>
  <xdr:twoCellAnchor>
    <xdr:from>
      <xdr:col>0</xdr:col>
      <xdr:colOff>154627</xdr:colOff>
      <xdr:row>15</xdr:row>
      <xdr:rowOff>115805</xdr:rowOff>
    </xdr:from>
    <xdr:to>
      <xdr:col>2</xdr:col>
      <xdr:colOff>352549</xdr:colOff>
      <xdr:row>16</xdr:row>
      <xdr:rowOff>140545</xdr:rowOff>
    </xdr:to>
    <xdr:sp macro="" textlink="">
      <xdr:nvSpPr>
        <xdr:cNvPr id="175" name="TextBox 174">
          <a:extLst>
            <a:ext uri="{FF2B5EF4-FFF2-40B4-BE49-F238E27FC236}">
              <a16:creationId xmlns:a16="http://schemas.microsoft.com/office/drawing/2014/main" id="{9088ABE2-7398-8B1C-E023-C08CAFD69697}"/>
            </a:ext>
          </a:extLst>
        </xdr:cNvPr>
        <xdr:cNvSpPr txBox="1"/>
      </xdr:nvSpPr>
      <xdr:spPr>
        <a:xfrm>
          <a:off x="154627" y="2903610"/>
          <a:ext cx="1405971" cy="21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bg1"/>
              </a:solidFill>
              <a:latin typeface="Kulim Park" pitchFamily="2" charset="0"/>
            </a:rPr>
            <a:t>Payment Method</a:t>
          </a:r>
          <a:endParaRPr lang="en-US" sz="1200" b="0" i="0" u="none" strike="noStrike">
            <a:solidFill>
              <a:schemeClr val="tx1"/>
            </a:solidFill>
            <a:latin typeface="Kulim Park" pitchFamily="2" charset="0"/>
          </a:endParaRPr>
        </a:p>
      </xdr:txBody>
    </xdr:sp>
    <xdr:clientData/>
  </xdr:twoCellAnchor>
  <xdr:twoCellAnchor>
    <xdr:from>
      <xdr:col>0</xdr:col>
      <xdr:colOff>148442</xdr:colOff>
      <xdr:row>15</xdr:row>
      <xdr:rowOff>2958</xdr:rowOff>
    </xdr:from>
    <xdr:to>
      <xdr:col>2</xdr:col>
      <xdr:colOff>346363</xdr:colOff>
      <xdr:row>15</xdr:row>
      <xdr:rowOff>4392</xdr:rowOff>
    </xdr:to>
    <xdr:cxnSp macro="">
      <xdr:nvCxnSpPr>
        <xdr:cNvPr id="177" name="Straight Connector 176">
          <a:extLst>
            <a:ext uri="{FF2B5EF4-FFF2-40B4-BE49-F238E27FC236}">
              <a16:creationId xmlns:a16="http://schemas.microsoft.com/office/drawing/2014/main" id="{D8B64D2F-B3BC-2A22-0E5C-5491E81C967F}"/>
            </a:ext>
          </a:extLst>
        </xdr:cNvPr>
        <xdr:cNvCxnSpPr/>
      </xdr:nvCxnSpPr>
      <xdr:spPr>
        <a:xfrm flipV="1">
          <a:off x="148442" y="2790763"/>
          <a:ext cx="1405970" cy="1434"/>
        </a:xfrm>
        <a:prstGeom prst="line">
          <a:avLst/>
        </a:prstGeom>
        <a:no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0</xdr:col>
      <xdr:colOff>148442</xdr:colOff>
      <xdr:row>24</xdr:row>
      <xdr:rowOff>143599</xdr:rowOff>
    </xdr:from>
    <xdr:to>
      <xdr:col>2</xdr:col>
      <xdr:colOff>346363</xdr:colOff>
      <xdr:row>24</xdr:row>
      <xdr:rowOff>145033</xdr:rowOff>
    </xdr:to>
    <xdr:cxnSp macro="">
      <xdr:nvCxnSpPr>
        <xdr:cNvPr id="182" name="Straight Connector 181">
          <a:extLst>
            <a:ext uri="{FF2B5EF4-FFF2-40B4-BE49-F238E27FC236}">
              <a16:creationId xmlns:a16="http://schemas.microsoft.com/office/drawing/2014/main" id="{BDCE7DC0-0505-ED41-27DA-E49600515BD9}"/>
            </a:ext>
          </a:extLst>
        </xdr:cNvPr>
        <xdr:cNvCxnSpPr/>
      </xdr:nvCxnSpPr>
      <xdr:spPr>
        <a:xfrm flipV="1">
          <a:off x="148442" y="4604087"/>
          <a:ext cx="1405970" cy="1434"/>
        </a:xfrm>
        <a:prstGeom prst="line">
          <a:avLst/>
        </a:prstGeom>
        <a:no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0</xdr:col>
      <xdr:colOff>149323</xdr:colOff>
      <xdr:row>5</xdr:row>
      <xdr:rowOff>61037</xdr:rowOff>
    </xdr:from>
    <xdr:to>
      <xdr:col>2</xdr:col>
      <xdr:colOff>347244</xdr:colOff>
      <xdr:row>5</xdr:row>
      <xdr:rowOff>62471</xdr:rowOff>
    </xdr:to>
    <xdr:cxnSp macro="">
      <xdr:nvCxnSpPr>
        <xdr:cNvPr id="184" name="Straight Connector 183">
          <a:extLst>
            <a:ext uri="{FF2B5EF4-FFF2-40B4-BE49-F238E27FC236}">
              <a16:creationId xmlns:a16="http://schemas.microsoft.com/office/drawing/2014/main" id="{753A0912-A49E-C6C5-388A-E0C941A86762}"/>
            </a:ext>
          </a:extLst>
        </xdr:cNvPr>
        <xdr:cNvCxnSpPr/>
      </xdr:nvCxnSpPr>
      <xdr:spPr>
        <a:xfrm flipV="1">
          <a:off x="149323" y="990305"/>
          <a:ext cx="1405970" cy="1434"/>
        </a:xfrm>
        <a:prstGeom prst="line">
          <a:avLst/>
        </a:prstGeom>
        <a:no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9</xdr:col>
      <xdr:colOff>30396</xdr:colOff>
      <xdr:row>24</xdr:row>
      <xdr:rowOff>5018</xdr:rowOff>
    </xdr:from>
    <xdr:to>
      <xdr:col>13</xdr:col>
      <xdr:colOff>174065</xdr:colOff>
      <xdr:row>25</xdr:row>
      <xdr:rowOff>182939</xdr:rowOff>
    </xdr:to>
    <xdr:sp macro="" textlink="">
      <xdr:nvSpPr>
        <xdr:cNvPr id="46" name="TextBox 45">
          <a:extLst>
            <a:ext uri="{FF2B5EF4-FFF2-40B4-BE49-F238E27FC236}">
              <a16:creationId xmlns:a16="http://schemas.microsoft.com/office/drawing/2014/main" id="{620997DB-7072-A515-FB27-4C0ECAEB73CF}"/>
            </a:ext>
          </a:extLst>
        </xdr:cNvPr>
        <xdr:cNvSpPr txBox="1"/>
      </xdr:nvSpPr>
      <xdr:spPr>
        <a:xfrm>
          <a:off x="5564542" y="4634891"/>
          <a:ext cx="2603289" cy="370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Kulim Park" pitchFamily="2" charset="0"/>
              <a:ea typeface="+mn-ea"/>
              <a:cs typeface="+mn-cs"/>
            </a:rPr>
            <a:t>Total Sales By Month</a:t>
          </a:r>
        </a:p>
      </xdr:txBody>
    </xdr:sp>
    <xdr:clientData/>
  </xdr:twoCellAnchor>
  <xdr:twoCellAnchor>
    <xdr:from>
      <xdr:col>13</xdr:col>
      <xdr:colOff>548847</xdr:colOff>
      <xdr:row>13</xdr:row>
      <xdr:rowOff>5018</xdr:rowOff>
    </xdr:from>
    <xdr:to>
      <xdr:col>18</xdr:col>
      <xdr:colOff>120572</xdr:colOff>
      <xdr:row>14</xdr:row>
      <xdr:rowOff>182940</xdr:rowOff>
    </xdr:to>
    <xdr:sp macro="" textlink="">
      <xdr:nvSpPr>
        <xdr:cNvPr id="47" name="TextBox 46">
          <a:extLst>
            <a:ext uri="{FF2B5EF4-FFF2-40B4-BE49-F238E27FC236}">
              <a16:creationId xmlns:a16="http://schemas.microsoft.com/office/drawing/2014/main" id="{2A38037C-5CB9-9F25-0FC6-4EDFAFF329F9}"/>
            </a:ext>
          </a:extLst>
        </xdr:cNvPr>
        <xdr:cNvSpPr txBox="1"/>
      </xdr:nvSpPr>
      <xdr:spPr>
        <a:xfrm>
          <a:off x="8542613" y="2512866"/>
          <a:ext cx="2646250" cy="370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dk1"/>
              </a:solidFill>
              <a:effectLst/>
              <a:latin typeface="Kulim Park" pitchFamily="2" charset="0"/>
              <a:ea typeface="+mn-ea"/>
              <a:cs typeface="+mn-cs"/>
            </a:rPr>
            <a:t>Ranking For Region Managers</a:t>
          </a:r>
        </a:p>
      </xdr:txBody>
    </xdr:sp>
    <xdr:clientData/>
  </xdr:twoCellAnchor>
  <xdr:twoCellAnchor>
    <xdr:from>
      <xdr:col>15</xdr:col>
      <xdr:colOff>512677</xdr:colOff>
      <xdr:row>24</xdr:row>
      <xdr:rowOff>53245</xdr:rowOff>
    </xdr:from>
    <xdr:to>
      <xdr:col>18</xdr:col>
      <xdr:colOff>84399</xdr:colOff>
      <xdr:row>26</xdr:row>
      <xdr:rowOff>38255</xdr:rowOff>
    </xdr:to>
    <xdr:sp macro="" textlink="">
      <xdr:nvSpPr>
        <xdr:cNvPr id="49" name="TextBox 48">
          <a:extLst>
            <a:ext uri="{FF2B5EF4-FFF2-40B4-BE49-F238E27FC236}">
              <a16:creationId xmlns:a16="http://schemas.microsoft.com/office/drawing/2014/main" id="{95C72632-010C-9093-EB73-EF2C3D930D61}"/>
            </a:ext>
          </a:extLst>
        </xdr:cNvPr>
        <xdr:cNvSpPr txBox="1"/>
      </xdr:nvSpPr>
      <xdr:spPr>
        <a:xfrm>
          <a:off x="9736253" y="4683118"/>
          <a:ext cx="1416437" cy="370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dk1"/>
              </a:solidFill>
              <a:effectLst/>
              <a:latin typeface="Kulim Park" pitchFamily="2" charset="0"/>
              <a:ea typeface="+mn-ea"/>
              <a:cs typeface="+mn-cs"/>
            </a:rPr>
            <a:t>Top 4 Sellers</a:t>
          </a:r>
        </a:p>
      </xdr:txBody>
    </xdr:sp>
    <xdr:clientData/>
  </xdr:twoCellAnchor>
  <xdr:twoCellAnchor>
    <xdr:from>
      <xdr:col>19</xdr:col>
      <xdr:colOff>309036</xdr:colOff>
      <xdr:row>24</xdr:row>
      <xdr:rowOff>148507</xdr:rowOff>
    </xdr:from>
    <xdr:to>
      <xdr:col>20</xdr:col>
      <xdr:colOff>439261</xdr:colOff>
      <xdr:row>25</xdr:row>
      <xdr:rowOff>90930</xdr:rowOff>
    </xdr:to>
    <xdr:sp macro="" textlink="">
      <xdr:nvSpPr>
        <xdr:cNvPr id="50" name="TextBox 49">
          <a:extLst>
            <a:ext uri="{FF2B5EF4-FFF2-40B4-BE49-F238E27FC236}">
              <a16:creationId xmlns:a16="http://schemas.microsoft.com/office/drawing/2014/main" id="{8803AAAD-DC9F-268A-EB93-39621D9BCC0F}"/>
            </a:ext>
          </a:extLst>
        </xdr:cNvPr>
        <xdr:cNvSpPr txBox="1"/>
      </xdr:nvSpPr>
      <xdr:spPr>
        <a:xfrm>
          <a:off x="11992232" y="4778380"/>
          <a:ext cx="745130" cy="13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1"/>
              </a:solidFill>
              <a:latin typeface="Kulim Park" pitchFamily="2" charset="0"/>
              <a:ea typeface="+mn-ea"/>
              <a:cs typeface="+mn-cs"/>
            </a:rPr>
            <a:t>OnTime</a:t>
          </a:r>
        </a:p>
      </xdr:txBody>
    </xdr:sp>
    <xdr:clientData/>
  </xdr:twoCellAnchor>
  <xdr:twoCellAnchor>
    <xdr:from>
      <xdr:col>20</xdr:col>
      <xdr:colOff>499834</xdr:colOff>
      <xdr:row>21</xdr:row>
      <xdr:rowOff>53289</xdr:rowOff>
    </xdr:from>
    <xdr:to>
      <xdr:col>22</xdr:col>
      <xdr:colOff>301424</xdr:colOff>
      <xdr:row>22</xdr:row>
      <xdr:rowOff>54256</xdr:rowOff>
    </xdr:to>
    <xdr:sp macro="" textlink="">
      <xdr:nvSpPr>
        <xdr:cNvPr id="55" name="TextBox 54">
          <a:extLst>
            <a:ext uri="{FF2B5EF4-FFF2-40B4-BE49-F238E27FC236}">
              <a16:creationId xmlns:a16="http://schemas.microsoft.com/office/drawing/2014/main" id="{5BC640CF-B4EC-0C1D-015B-361DEACEB279}"/>
            </a:ext>
          </a:extLst>
        </xdr:cNvPr>
        <xdr:cNvSpPr txBox="1"/>
      </xdr:nvSpPr>
      <xdr:spPr>
        <a:xfrm>
          <a:off x="12797935" y="4104428"/>
          <a:ext cx="1031400" cy="193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50" b="1">
              <a:solidFill>
                <a:srgbClr val="022213"/>
              </a:solidFill>
              <a:latin typeface="Kulim Park" pitchFamily="2" charset="0"/>
            </a:rPr>
            <a:t>Completed</a:t>
          </a:r>
        </a:p>
      </xdr:txBody>
    </xdr:sp>
    <xdr:clientData/>
  </xdr:twoCellAnchor>
  <xdr:twoCellAnchor>
    <xdr:from>
      <xdr:col>22</xdr:col>
      <xdr:colOff>355151</xdr:colOff>
      <xdr:row>21</xdr:row>
      <xdr:rowOff>53289</xdr:rowOff>
    </xdr:from>
    <xdr:to>
      <xdr:col>24</xdr:col>
      <xdr:colOff>156740</xdr:colOff>
      <xdr:row>22</xdr:row>
      <xdr:rowOff>54256</xdr:rowOff>
    </xdr:to>
    <xdr:sp macro="" textlink="">
      <xdr:nvSpPr>
        <xdr:cNvPr id="62" name="TextBox 61">
          <a:extLst>
            <a:ext uri="{FF2B5EF4-FFF2-40B4-BE49-F238E27FC236}">
              <a16:creationId xmlns:a16="http://schemas.microsoft.com/office/drawing/2014/main" id="{C7DA22E9-483A-314F-2FA9-BF53E9F190EF}"/>
            </a:ext>
          </a:extLst>
        </xdr:cNvPr>
        <xdr:cNvSpPr txBox="1"/>
      </xdr:nvSpPr>
      <xdr:spPr>
        <a:xfrm>
          <a:off x="13883062" y="4104428"/>
          <a:ext cx="1031400" cy="193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50" b="1">
              <a:solidFill>
                <a:srgbClr val="022213"/>
              </a:solidFill>
              <a:latin typeface="Kulim Park" pitchFamily="2" charset="0"/>
            </a:rPr>
            <a:t>Cancelled</a:t>
          </a:r>
        </a:p>
      </xdr:txBody>
    </xdr:sp>
    <xdr:clientData/>
  </xdr:twoCellAnchor>
  <xdr:twoCellAnchor editAs="oneCell">
    <xdr:from>
      <xdr:col>0</xdr:col>
      <xdr:colOff>143361</xdr:colOff>
      <xdr:row>27</xdr:row>
      <xdr:rowOff>63815</xdr:rowOff>
    </xdr:from>
    <xdr:to>
      <xdr:col>2</xdr:col>
      <xdr:colOff>360091</xdr:colOff>
      <xdr:row>36</xdr:row>
      <xdr:rowOff>11618</xdr:rowOff>
    </xdr:to>
    <mc:AlternateContent xmlns:mc="http://schemas.openxmlformats.org/markup-compatibility/2006" xmlns:a14="http://schemas.microsoft.com/office/drawing/2010/main">
      <mc:Choice Requires="a14">
        <xdr:graphicFrame macro="">
          <xdr:nvGraphicFramePr>
            <xdr:cNvPr id="66" name="Region 1">
              <a:extLst>
                <a:ext uri="{FF2B5EF4-FFF2-40B4-BE49-F238E27FC236}">
                  <a16:creationId xmlns:a16="http://schemas.microsoft.com/office/drawing/2014/main" id="{6AA9EF80-97C0-4F5F-9142-F82FB570FF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3361" y="5081864"/>
              <a:ext cx="1424779" cy="16204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168797</xdr:colOff>
      <xdr:row>25</xdr:row>
      <xdr:rowOff>144682</xdr:rowOff>
    </xdr:from>
    <xdr:to>
      <xdr:col>14</xdr:col>
      <xdr:colOff>566676</xdr:colOff>
      <xdr:row>35</xdr:row>
      <xdr:rowOff>96455</xdr:rowOff>
    </xdr:to>
    <xdr:graphicFrame macro="">
      <xdr:nvGraphicFramePr>
        <xdr:cNvPr id="67" name="Chart 66">
          <a:extLst>
            <a:ext uri="{FF2B5EF4-FFF2-40B4-BE49-F238E27FC236}">
              <a16:creationId xmlns:a16="http://schemas.microsoft.com/office/drawing/2014/main" id="{EAF854F3-8A73-4D77-8D22-99AE13534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143011</xdr:colOff>
      <xdr:row>25</xdr:row>
      <xdr:rowOff>92575</xdr:rowOff>
    </xdr:from>
    <xdr:to>
      <xdr:col>2</xdr:col>
      <xdr:colOff>340933</xdr:colOff>
      <xdr:row>26</xdr:row>
      <xdr:rowOff>117315</xdr:rowOff>
    </xdr:to>
    <xdr:sp macro="" textlink="">
      <xdr:nvSpPr>
        <xdr:cNvPr id="69" name="TextBox 68">
          <a:extLst>
            <a:ext uri="{FF2B5EF4-FFF2-40B4-BE49-F238E27FC236}">
              <a16:creationId xmlns:a16="http://schemas.microsoft.com/office/drawing/2014/main" id="{346370DF-93EF-D869-8812-F6F687B4DE7E}"/>
            </a:ext>
          </a:extLst>
        </xdr:cNvPr>
        <xdr:cNvSpPr txBox="1"/>
      </xdr:nvSpPr>
      <xdr:spPr>
        <a:xfrm>
          <a:off x="143011" y="4738916"/>
          <a:ext cx="1405971" cy="21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bg1"/>
              </a:solidFill>
              <a:latin typeface="Kulim Park" pitchFamily="2" charset="0"/>
            </a:rPr>
            <a:t>Region</a:t>
          </a:r>
          <a:endParaRPr lang="en-US" sz="1200" b="0" i="0" u="none" strike="noStrike">
            <a:solidFill>
              <a:schemeClr val="tx1"/>
            </a:solidFill>
            <a:latin typeface="Kulim Park" pitchFamily="2"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29195</xdr:colOff>
      <xdr:row>22</xdr:row>
      <xdr:rowOff>65471</xdr:rowOff>
    </xdr:from>
    <xdr:to>
      <xdr:col>9</xdr:col>
      <xdr:colOff>1179286</xdr:colOff>
      <xdr:row>52</xdr:row>
      <xdr:rowOff>6430</xdr:rowOff>
    </xdr:to>
    <xdr:pic>
      <xdr:nvPicPr>
        <xdr:cNvPr id="3" name="Picture 2">
          <a:extLst>
            <a:ext uri="{FF2B5EF4-FFF2-40B4-BE49-F238E27FC236}">
              <a16:creationId xmlns:a16="http://schemas.microsoft.com/office/drawing/2014/main" id="{422F52D0-8172-8DE2-258B-B7590D013ED8}"/>
            </a:ext>
          </a:extLst>
        </xdr:cNvPr>
        <xdr:cNvPicPr>
          <a:picLocks noChangeAspect="1"/>
        </xdr:cNvPicPr>
      </xdr:nvPicPr>
      <xdr:blipFill>
        <a:blip xmlns:r="http://schemas.openxmlformats.org/officeDocument/2006/relationships" r:embed="rId1"/>
        <a:stretch>
          <a:fillRect/>
        </a:stretch>
      </xdr:blipFill>
      <xdr:spPr>
        <a:xfrm>
          <a:off x="2444463" y="4306364"/>
          <a:ext cx="10210180" cy="57239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AL" refreshedDate="45945.960521412038" createdVersion="8" refreshedVersion="8" minRefreshableVersion="3" recordCount="150" xr:uid="{FD8FD4D4-C49C-4AC6-8FDF-8459A129ACDC}">
  <cacheSource type="worksheet">
    <worksheetSource name="Table1"/>
  </cacheSource>
  <cacheFields count="23">
    <cacheField name="Date" numFmtId="14">
      <sharedItems containsSemiMixedTypes="0" containsNonDate="0" containsDate="1" containsString="0" minDate="2024-01-04T00:00:00" maxDate="2024-12-11T00:00:00" count="119">
        <d v="2024-01-22T00:00:00"/>
        <d v="2024-10-06T00:00:00"/>
        <d v="2024-11-19T00:00:00"/>
        <d v="2024-08-26T00:00:00"/>
        <d v="2024-07-29T00:00:00"/>
        <d v="2024-12-07T00:00:00"/>
        <d v="2024-04-20T00:00:00"/>
        <d v="2024-11-18T00:00:00"/>
        <d v="2024-08-09T00:00:00"/>
        <d v="2024-11-01T00:00:00"/>
        <d v="2024-03-18T00:00:00"/>
        <d v="2024-01-27T00:00:00"/>
        <d v="2024-06-28T00:00:00"/>
        <d v="2024-10-22T00:00:00"/>
        <d v="2024-05-11T00:00:00"/>
        <d v="2024-01-31T00:00:00"/>
        <d v="2024-09-05T00:00:00"/>
        <d v="2024-06-18T00:00:00"/>
        <d v="2024-08-29T00:00:00"/>
        <d v="2024-03-06T00:00:00"/>
        <d v="2024-05-24T00:00:00"/>
        <d v="2024-10-13T00:00:00"/>
        <d v="2024-03-14T00:00:00"/>
        <d v="2024-09-24T00:00:00"/>
        <d v="2024-01-12T00:00:00"/>
        <d v="2024-09-10T00:00:00"/>
        <d v="2024-07-17T00:00:00"/>
        <d v="2024-03-20T00:00:00"/>
        <d v="2024-09-30T00:00:00"/>
        <d v="2024-03-22T00:00:00"/>
        <d v="2024-02-06T00:00:00"/>
        <d v="2024-04-05T00:00:00"/>
        <d v="2024-04-26T00:00:00"/>
        <d v="2024-10-04T00:00:00"/>
        <d v="2024-04-14T00:00:00"/>
        <d v="2024-05-13T00:00:00"/>
        <d v="2024-06-17T00:00:00"/>
        <d v="2024-08-04T00:00:00"/>
        <d v="2024-04-24T00:00:00"/>
        <d v="2024-05-30T00:00:00"/>
        <d v="2024-08-23T00:00:00"/>
        <d v="2024-08-07T00:00:00"/>
        <d v="2024-03-31T00:00:00"/>
        <d v="2024-06-01T00:00:00"/>
        <d v="2024-04-07T00:00:00"/>
        <d v="2024-04-11T00:00:00"/>
        <d v="2024-01-23T00:00:00"/>
        <d v="2024-01-15T00:00:00"/>
        <d v="2024-02-08T00:00:00"/>
        <d v="2024-07-28T00:00:00"/>
        <d v="2024-09-01T00:00:00"/>
        <d v="2024-08-06T00:00:00"/>
        <d v="2024-09-08T00:00:00"/>
        <d v="2024-02-10T00:00:00"/>
        <d v="2024-09-02T00:00:00"/>
        <d v="2024-02-03T00:00:00"/>
        <d v="2024-02-19T00:00:00"/>
        <d v="2024-05-25T00:00:00"/>
        <d v="2024-04-17T00:00:00"/>
        <d v="2024-09-28T00:00:00"/>
        <d v="2024-05-18T00:00:00"/>
        <d v="2024-01-04T00:00:00"/>
        <d v="2024-04-02T00:00:00"/>
        <d v="2024-05-04T00:00:00"/>
        <d v="2024-07-13T00:00:00"/>
        <d v="2024-02-29T00:00:00"/>
        <d v="2024-06-30T00:00:00"/>
        <d v="2024-09-23T00:00:00"/>
        <d v="2024-01-18T00:00:00"/>
        <d v="2024-05-09T00:00:00"/>
        <d v="2024-06-26T00:00:00"/>
        <d v="2024-09-14T00:00:00"/>
        <d v="2024-07-11T00:00:00"/>
        <d v="2024-06-07T00:00:00"/>
        <d v="2024-07-18T00:00:00"/>
        <d v="2024-07-16T00:00:00"/>
        <d v="2024-10-01T00:00:00"/>
        <d v="2024-03-08T00:00:00"/>
        <d v="2024-09-26T00:00:00"/>
        <d v="2024-04-21T00:00:00"/>
        <d v="2024-01-30T00:00:00"/>
        <d v="2024-01-20T00:00:00"/>
        <d v="2024-09-17T00:00:00"/>
        <d v="2024-09-03T00:00:00"/>
        <d v="2024-08-28T00:00:00"/>
        <d v="2024-04-27T00:00:00"/>
        <d v="2024-03-13T00:00:00"/>
        <d v="2024-04-13T00:00:00"/>
        <d v="2024-06-23T00:00:00"/>
        <d v="2024-12-01T00:00:00"/>
        <d v="2024-03-29T00:00:00"/>
        <d v="2024-01-13T00:00:00"/>
        <d v="2024-12-10T00:00:00"/>
        <d v="2024-11-09T00:00:00"/>
        <d v="2024-03-21T00:00:00"/>
        <d v="2024-02-07T00:00:00"/>
        <d v="2024-06-06T00:00:00"/>
        <d v="2024-10-30T00:00:00"/>
        <d v="2024-02-24T00:00:00"/>
        <d v="2024-11-04T00:00:00"/>
        <d v="2024-01-14T00:00:00"/>
        <d v="2024-08-10T00:00:00"/>
        <d v="2024-03-16T00:00:00"/>
        <d v="2024-06-19T00:00:00"/>
        <d v="2024-06-09T00:00:00"/>
        <d v="2024-05-19T00:00:00"/>
        <d v="2024-04-30T00:00:00"/>
        <d v="2024-07-10T00:00:00"/>
        <d v="2024-10-14T00:00:00"/>
        <d v="2024-09-09T00:00:00"/>
        <d v="2024-05-26T00:00:00"/>
        <d v="2024-07-24T00:00:00"/>
        <d v="2024-11-21T00:00:00"/>
        <d v="2024-08-25T00:00:00"/>
        <d v="2024-02-12T00:00:00"/>
        <d v="2024-03-05T00:00:00"/>
        <d v="2024-09-20T00:00:00"/>
        <d v="2024-11-14T00:00:00"/>
        <d v="2024-11-08T00:00:00"/>
      </sharedItems>
      <fieldGroup par="18"/>
    </cacheField>
    <cacheField name="Product Name" numFmtId="0">
      <sharedItems/>
    </cacheField>
    <cacheField name="Category" numFmtId="0">
      <sharedItems count="5">
        <s v="Home Goods"/>
        <s v="Clothing"/>
        <s v="Electronics"/>
        <s v="Sports"/>
        <s v="Beauty"/>
      </sharedItems>
    </cacheField>
    <cacheField name="Sales Representative" numFmtId="0">
      <sharedItems count="5">
        <s v="Charlie"/>
        <s v="Bob"/>
        <s v="Alice"/>
        <s v="Eve"/>
        <s v="Diana"/>
      </sharedItems>
    </cacheField>
    <cacheField name="Region" numFmtId="0">
      <sharedItems count="4">
        <s v="West"/>
        <s v="East"/>
        <s v="South"/>
        <s v="North"/>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22.62" maxValue="495.03"/>
    </cacheField>
    <cacheField name="Total Sale" numFmtId="0">
      <sharedItems containsSemiMixedTypes="0" containsString="0" containsNumber="1" minValue="55.02" maxValue="4930.5"/>
    </cacheField>
    <cacheField name="Cost Price" numFmtId="0">
      <sharedItems containsSemiMixedTypes="0" containsString="0" containsNumber="1" minValue="-4.9799999999999969" maxValue="4870.5"/>
    </cacheField>
    <cacheField name="Profit" numFmtId="0">
      <sharedItems containsSemiMixedTypes="0" containsString="0" containsNumber="1" minValue="40" maxValue="65.5"/>
    </cacheField>
    <cacheField name="Payment Method" numFmtId="0">
      <sharedItems count="3">
        <s v="Credit Card"/>
        <s v="Cash"/>
        <s v="Online Transfer"/>
      </sharedItems>
    </cacheField>
    <cacheField name="Order Status" numFmtId="0">
      <sharedItems count="3">
        <s v="Completed"/>
        <s v="Pending"/>
        <s v="Cancelled"/>
      </sharedItems>
    </cacheField>
    <cacheField name="CompletedFlag" numFmtId="0">
      <sharedItems containsSemiMixedTypes="0" containsString="0" containsNumber="1" containsInteger="1" minValue="0" maxValue="1"/>
    </cacheField>
    <cacheField name="PendingFlag" numFmtId="0">
      <sharedItems containsSemiMixedTypes="0" containsString="0" containsNumber="1" containsInteger="1" minValue="0" maxValue="1"/>
    </cacheField>
    <cacheField name="CancelledFlag" numFmtId="0">
      <sharedItems containsSemiMixedTypes="0" containsString="0" containsNumber="1" containsInteger="1" minValue="0" maxValue="1"/>
    </cacheField>
    <cacheField name="Region Manager" numFmtId="0">
      <sharedItems count="4">
        <s v="Lisa White"/>
        <s v="Tom Brown"/>
        <s v="Mark Davis"/>
        <s v="Sarah Johnson"/>
      </sharedItems>
    </cacheField>
    <cacheField name="Customer Type" numFmtId="0">
      <sharedItems count="3">
        <s v="Regular"/>
        <s v="VIP"/>
        <s v="New"/>
      </sharedItems>
    </cacheField>
    <cacheField name="Days (Date)" numFmtId="0" databaseField="0">
      <fieldGroup base="0">
        <rangePr groupBy="days" startDate="2024-01-04T00:00:00" endDate="2024-12-11T00:00:00"/>
        <groupItems count="368">
          <s v="&lt;1/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1/2024"/>
        </groupItems>
      </fieldGroup>
    </cacheField>
    <cacheField name="Months (Date)" numFmtId="0" databaseField="0">
      <fieldGroup base="0">
        <rangePr groupBy="months" startDate="2024-01-04T00:00:00" endDate="2024-12-11T00:00:00"/>
        <groupItems count="14">
          <s v="&lt;1/4/2024"/>
          <s v="Jan"/>
          <s v="Feb"/>
          <s v="Mar"/>
          <s v="Apr"/>
          <s v="May"/>
          <s v="Jun"/>
          <s v="Jul"/>
          <s v="Aug"/>
          <s v="Sep"/>
          <s v="Oct"/>
          <s v="Nov"/>
          <s v="Dec"/>
          <s v="&gt;12/11/2024"/>
        </groupItems>
      </fieldGroup>
    </cacheField>
    <cacheField name="Profit Margin %" numFmtId="0" formula="Profit /'Total Sale'" databaseField="0"/>
    <cacheField name="Average Order Value" numFmtId="0" formula="'Total Sale' /'Quantity Sold'" databaseField="0"/>
    <cacheField name="Completed Orders %" numFmtId="0" formula="CompletedFlag / COUNT('Order Status')" databaseField="0"/>
    <cacheField name="Cancellation Rate %" numFmtId="0" formula="CancelledFlag / (CompletedFlag +CancelledFlag +PendingFlag )" databaseField="0"/>
  </cacheFields>
  <extLst>
    <ext xmlns:x14="http://schemas.microsoft.com/office/spreadsheetml/2009/9/main" uri="{725AE2AE-9491-48be-B2B4-4EB974FC3084}">
      <x14:pivotCacheDefinition pivotCacheId="257333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Table"/>
    <x v="0"/>
    <x v="0"/>
    <x v="0"/>
    <n v="1"/>
    <n v="91.81"/>
    <n v="91.81"/>
    <n v="51.81"/>
    <n v="40"/>
    <x v="0"/>
    <x v="0"/>
    <n v="1"/>
    <n v="0"/>
    <n v="0"/>
    <x v="0"/>
    <x v="0"/>
  </r>
  <r>
    <x v="1"/>
    <s v="Curtains"/>
    <x v="0"/>
    <x v="1"/>
    <x v="1"/>
    <n v="9"/>
    <n v="462.17"/>
    <n v="4159.53"/>
    <n v="4099.53"/>
    <n v="60"/>
    <x v="1"/>
    <x v="1"/>
    <n v="0"/>
    <n v="1"/>
    <n v="0"/>
    <x v="1"/>
    <x v="1"/>
  </r>
  <r>
    <x v="2"/>
    <s v="Sneakers"/>
    <x v="1"/>
    <x v="1"/>
    <x v="2"/>
    <n v="7"/>
    <n v="198.67"/>
    <n v="1390.69"/>
    <n v="1325.19"/>
    <n v="65.5"/>
    <x v="2"/>
    <x v="2"/>
    <n v="0"/>
    <n v="0"/>
    <n v="1"/>
    <x v="2"/>
    <x v="2"/>
  </r>
  <r>
    <x v="3"/>
    <s v="Chair"/>
    <x v="0"/>
    <x v="1"/>
    <x v="2"/>
    <n v="6"/>
    <n v="125.67"/>
    <n v="754.02"/>
    <n v="705.02"/>
    <n v="49"/>
    <x v="0"/>
    <x v="0"/>
    <n v="1"/>
    <n v="0"/>
    <n v="0"/>
    <x v="3"/>
    <x v="0"/>
  </r>
  <r>
    <x v="4"/>
    <s v="Lamp"/>
    <x v="0"/>
    <x v="1"/>
    <x v="1"/>
    <n v="5"/>
    <n v="244.72"/>
    <n v="1223.5999999999999"/>
    <n v="1183.5999999999999"/>
    <n v="40"/>
    <x v="1"/>
    <x v="1"/>
    <n v="0"/>
    <n v="1"/>
    <n v="0"/>
    <x v="0"/>
    <x v="1"/>
  </r>
  <r>
    <x v="5"/>
    <s v="Laptop"/>
    <x v="2"/>
    <x v="1"/>
    <x v="1"/>
    <n v="3"/>
    <n v="117.66"/>
    <n v="352.98"/>
    <n v="292.98"/>
    <n v="60"/>
    <x v="2"/>
    <x v="0"/>
    <n v="1"/>
    <n v="0"/>
    <n v="0"/>
    <x v="1"/>
    <x v="2"/>
  </r>
  <r>
    <x v="6"/>
    <s v="T-Shirt"/>
    <x v="1"/>
    <x v="2"/>
    <x v="2"/>
    <n v="5"/>
    <n v="249.15"/>
    <n v="1245.75"/>
    <n v="1180.25"/>
    <n v="65.5"/>
    <x v="0"/>
    <x v="2"/>
    <n v="0"/>
    <n v="0"/>
    <n v="1"/>
    <x v="2"/>
    <x v="0"/>
  </r>
  <r>
    <x v="7"/>
    <s v="Yoga Mat"/>
    <x v="3"/>
    <x v="1"/>
    <x v="1"/>
    <n v="5"/>
    <n v="337.68"/>
    <n v="1688.4"/>
    <n v="1639.4"/>
    <n v="49"/>
    <x v="1"/>
    <x v="0"/>
    <n v="1"/>
    <n v="0"/>
    <n v="0"/>
    <x v="3"/>
    <x v="1"/>
  </r>
  <r>
    <x v="8"/>
    <s v="Tennis Racket"/>
    <x v="3"/>
    <x v="2"/>
    <x v="3"/>
    <n v="5"/>
    <n v="491.3"/>
    <n v="2456.5"/>
    <n v="2416.5"/>
    <n v="40"/>
    <x v="2"/>
    <x v="1"/>
    <n v="0"/>
    <n v="1"/>
    <n v="0"/>
    <x v="0"/>
    <x v="2"/>
  </r>
  <r>
    <x v="9"/>
    <s v="Chair"/>
    <x v="0"/>
    <x v="1"/>
    <x v="2"/>
    <n v="4"/>
    <n v="394.42"/>
    <n v="1577.68"/>
    <n v="1517.68"/>
    <n v="60"/>
    <x v="0"/>
    <x v="0"/>
    <n v="1"/>
    <n v="0"/>
    <n v="0"/>
    <x v="1"/>
    <x v="0"/>
  </r>
  <r>
    <x v="10"/>
    <s v="Dumbbells"/>
    <x v="3"/>
    <x v="0"/>
    <x v="3"/>
    <n v="2"/>
    <n v="216.4"/>
    <n v="432.8"/>
    <n v="367.3"/>
    <n v="65.5"/>
    <x v="1"/>
    <x v="1"/>
    <n v="0"/>
    <n v="1"/>
    <n v="0"/>
    <x v="2"/>
    <x v="1"/>
  </r>
  <r>
    <x v="11"/>
    <s v="Yoga Mat"/>
    <x v="3"/>
    <x v="3"/>
    <x v="2"/>
    <n v="6"/>
    <n v="457.22"/>
    <n v="2743.32"/>
    <n v="2694.32"/>
    <n v="49"/>
    <x v="2"/>
    <x v="2"/>
    <n v="0"/>
    <n v="0"/>
    <n v="1"/>
    <x v="3"/>
    <x v="2"/>
  </r>
  <r>
    <x v="12"/>
    <s v="Table"/>
    <x v="0"/>
    <x v="2"/>
    <x v="1"/>
    <n v="8"/>
    <n v="438.33"/>
    <n v="3506.64"/>
    <n v="3466.64"/>
    <n v="40"/>
    <x v="0"/>
    <x v="0"/>
    <n v="1"/>
    <n v="0"/>
    <n v="0"/>
    <x v="0"/>
    <x v="0"/>
  </r>
  <r>
    <x v="13"/>
    <s v="Chair"/>
    <x v="0"/>
    <x v="4"/>
    <x v="2"/>
    <n v="2"/>
    <n v="56.98"/>
    <n v="113.96"/>
    <n v="53.959999999999994"/>
    <n v="60"/>
    <x v="1"/>
    <x v="0"/>
    <n v="1"/>
    <n v="0"/>
    <n v="0"/>
    <x v="1"/>
    <x v="1"/>
  </r>
  <r>
    <x v="14"/>
    <s v="Dumbbells"/>
    <x v="3"/>
    <x v="4"/>
    <x v="3"/>
    <n v="1"/>
    <n v="313.14"/>
    <n v="313.14"/>
    <n v="247.64"/>
    <n v="65.5"/>
    <x v="2"/>
    <x v="2"/>
    <n v="0"/>
    <n v="0"/>
    <n v="1"/>
    <x v="2"/>
    <x v="2"/>
  </r>
  <r>
    <x v="15"/>
    <s v="Lamp"/>
    <x v="0"/>
    <x v="0"/>
    <x v="1"/>
    <n v="4"/>
    <n v="53.03"/>
    <n v="212.12"/>
    <n v="163.12"/>
    <n v="49"/>
    <x v="0"/>
    <x v="1"/>
    <n v="0"/>
    <n v="1"/>
    <n v="0"/>
    <x v="3"/>
    <x v="0"/>
  </r>
  <r>
    <x v="16"/>
    <s v="Smartphone"/>
    <x v="2"/>
    <x v="2"/>
    <x v="3"/>
    <n v="10"/>
    <n v="152.37"/>
    <n v="1523.7"/>
    <n v="1483.7"/>
    <n v="40"/>
    <x v="1"/>
    <x v="0"/>
    <n v="1"/>
    <n v="0"/>
    <n v="0"/>
    <x v="0"/>
    <x v="1"/>
  </r>
  <r>
    <x v="17"/>
    <s v="Chair"/>
    <x v="0"/>
    <x v="3"/>
    <x v="3"/>
    <n v="6"/>
    <n v="132.59"/>
    <n v="795.54"/>
    <n v="735.54"/>
    <n v="60"/>
    <x v="2"/>
    <x v="0"/>
    <n v="1"/>
    <n v="0"/>
    <n v="0"/>
    <x v="1"/>
    <x v="2"/>
  </r>
  <r>
    <x v="18"/>
    <s v="T-Shirt"/>
    <x v="1"/>
    <x v="4"/>
    <x v="0"/>
    <n v="5"/>
    <n v="265.92"/>
    <n v="1329.6"/>
    <n v="1264.0999999999999"/>
    <n v="65.5"/>
    <x v="0"/>
    <x v="1"/>
    <n v="0"/>
    <n v="1"/>
    <n v="0"/>
    <x v="2"/>
    <x v="0"/>
  </r>
  <r>
    <x v="17"/>
    <s v="Chair"/>
    <x v="0"/>
    <x v="4"/>
    <x v="3"/>
    <n v="1"/>
    <n v="492.81"/>
    <n v="492.81"/>
    <n v="443.81"/>
    <n v="49"/>
    <x v="1"/>
    <x v="2"/>
    <n v="0"/>
    <n v="0"/>
    <n v="1"/>
    <x v="3"/>
    <x v="1"/>
  </r>
  <r>
    <x v="19"/>
    <s v="Lamp"/>
    <x v="0"/>
    <x v="4"/>
    <x v="3"/>
    <n v="1"/>
    <n v="434.04"/>
    <n v="434.04"/>
    <n v="394.04"/>
    <n v="40"/>
    <x v="2"/>
    <x v="0"/>
    <n v="1"/>
    <n v="0"/>
    <n v="0"/>
    <x v="0"/>
    <x v="2"/>
  </r>
  <r>
    <x v="20"/>
    <s v="Sneakers"/>
    <x v="1"/>
    <x v="2"/>
    <x v="0"/>
    <n v="10"/>
    <n v="462.7"/>
    <n v="4627"/>
    <n v="4567"/>
    <n v="60"/>
    <x v="0"/>
    <x v="2"/>
    <n v="0"/>
    <n v="0"/>
    <n v="1"/>
    <x v="1"/>
    <x v="0"/>
  </r>
  <r>
    <x v="14"/>
    <s v="Chair"/>
    <x v="0"/>
    <x v="3"/>
    <x v="1"/>
    <n v="2"/>
    <n v="336.04"/>
    <n v="672.08"/>
    <n v="606.58000000000004"/>
    <n v="65.5"/>
    <x v="1"/>
    <x v="0"/>
    <n v="1"/>
    <n v="0"/>
    <n v="0"/>
    <x v="2"/>
    <x v="1"/>
  </r>
  <r>
    <x v="21"/>
    <s v="Perfume"/>
    <x v="4"/>
    <x v="4"/>
    <x v="1"/>
    <n v="7"/>
    <n v="349.53"/>
    <n v="2446.71"/>
    <n v="2397.71"/>
    <n v="49"/>
    <x v="2"/>
    <x v="1"/>
    <n v="0"/>
    <n v="1"/>
    <n v="0"/>
    <x v="3"/>
    <x v="2"/>
  </r>
  <r>
    <x v="22"/>
    <s v="Lamp"/>
    <x v="0"/>
    <x v="1"/>
    <x v="3"/>
    <n v="5"/>
    <n v="178.39"/>
    <n v="891.95"/>
    <n v="851.95"/>
    <n v="40"/>
    <x v="0"/>
    <x v="1"/>
    <n v="0"/>
    <n v="1"/>
    <n v="0"/>
    <x v="0"/>
    <x v="0"/>
  </r>
  <r>
    <x v="23"/>
    <s v="Camera"/>
    <x v="2"/>
    <x v="0"/>
    <x v="2"/>
    <n v="9"/>
    <n v="479.97"/>
    <n v="4319.7299999999996"/>
    <n v="4259.7299999999996"/>
    <n v="60"/>
    <x v="1"/>
    <x v="2"/>
    <n v="0"/>
    <n v="0"/>
    <n v="1"/>
    <x v="1"/>
    <x v="1"/>
  </r>
  <r>
    <x v="24"/>
    <s v="Camera"/>
    <x v="2"/>
    <x v="2"/>
    <x v="0"/>
    <n v="1"/>
    <n v="226.32"/>
    <n v="226.32"/>
    <n v="160.82"/>
    <n v="65.5"/>
    <x v="2"/>
    <x v="0"/>
    <n v="1"/>
    <n v="0"/>
    <n v="0"/>
    <x v="2"/>
    <x v="2"/>
  </r>
  <r>
    <x v="25"/>
    <s v="Camera"/>
    <x v="2"/>
    <x v="1"/>
    <x v="2"/>
    <n v="6"/>
    <n v="430.69"/>
    <n v="2584.14"/>
    <n v="2535.14"/>
    <n v="49"/>
    <x v="0"/>
    <x v="0"/>
    <n v="1"/>
    <n v="0"/>
    <n v="0"/>
    <x v="3"/>
    <x v="0"/>
  </r>
  <r>
    <x v="26"/>
    <s v="T-Shirt"/>
    <x v="1"/>
    <x v="1"/>
    <x v="3"/>
    <n v="3"/>
    <n v="393.27"/>
    <n v="1179.81"/>
    <n v="1139.81"/>
    <n v="40"/>
    <x v="1"/>
    <x v="1"/>
    <n v="0"/>
    <n v="1"/>
    <n v="0"/>
    <x v="0"/>
    <x v="1"/>
  </r>
  <r>
    <x v="27"/>
    <s v="Curtains"/>
    <x v="0"/>
    <x v="0"/>
    <x v="1"/>
    <n v="9"/>
    <n v="475.63"/>
    <n v="4280.67"/>
    <n v="4220.67"/>
    <n v="60"/>
    <x v="2"/>
    <x v="2"/>
    <n v="0"/>
    <n v="0"/>
    <n v="1"/>
    <x v="1"/>
    <x v="2"/>
  </r>
  <r>
    <x v="28"/>
    <s v="Curtains"/>
    <x v="0"/>
    <x v="0"/>
    <x v="0"/>
    <n v="1"/>
    <n v="286.63"/>
    <n v="286.63"/>
    <n v="221.13"/>
    <n v="65.5"/>
    <x v="0"/>
    <x v="0"/>
    <n v="1"/>
    <n v="0"/>
    <n v="0"/>
    <x v="2"/>
    <x v="0"/>
  </r>
  <r>
    <x v="25"/>
    <s v="Sneakers"/>
    <x v="1"/>
    <x v="1"/>
    <x v="2"/>
    <n v="6"/>
    <n v="66.28"/>
    <n v="397.68"/>
    <n v="348.68"/>
    <n v="49"/>
    <x v="1"/>
    <x v="1"/>
    <n v="0"/>
    <n v="1"/>
    <n v="0"/>
    <x v="3"/>
    <x v="1"/>
  </r>
  <r>
    <x v="29"/>
    <s v="Headphones"/>
    <x v="2"/>
    <x v="4"/>
    <x v="0"/>
    <n v="1"/>
    <n v="188.02"/>
    <n v="188.02"/>
    <n v="148.02000000000001"/>
    <n v="40"/>
    <x v="2"/>
    <x v="0"/>
    <n v="1"/>
    <n v="0"/>
    <n v="0"/>
    <x v="0"/>
    <x v="2"/>
  </r>
  <r>
    <x v="30"/>
    <s v="Sneakers"/>
    <x v="1"/>
    <x v="0"/>
    <x v="2"/>
    <n v="2"/>
    <n v="163.61000000000001"/>
    <n v="327.22000000000003"/>
    <n v="267.22000000000003"/>
    <n v="60"/>
    <x v="0"/>
    <x v="2"/>
    <n v="0"/>
    <n v="0"/>
    <n v="1"/>
    <x v="1"/>
    <x v="0"/>
  </r>
  <r>
    <x v="31"/>
    <s v="Smartphone"/>
    <x v="2"/>
    <x v="1"/>
    <x v="1"/>
    <n v="5"/>
    <n v="235.55"/>
    <n v="1177.75"/>
    <n v="1112.25"/>
    <n v="65.5"/>
    <x v="1"/>
    <x v="1"/>
    <n v="0"/>
    <n v="1"/>
    <n v="0"/>
    <x v="2"/>
    <x v="1"/>
  </r>
  <r>
    <x v="32"/>
    <s v="Laptop"/>
    <x v="2"/>
    <x v="3"/>
    <x v="1"/>
    <n v="9"/>
    <n v="342.15"/>
    <n v="3079.35"/>
    <n v="3030.35"/>
    <n v="49"/>
    <x v="2"/>
    <x v="0"/>
    <n v="1"/>
    <n v="0"/>
    <n v="0"/>
    <x v="3"/>
    <x v="2"/>
  </r>
  <r>
    <x v="33"/>
    <s v="Football"/>
    <x v="3"/>
    <x v="1"/>
    <x v="3"/>
    <n v="4"/>
    <n v="117.1"/>
    <n v="468.4"/>
    <n v="428.4"/>
    <n v="40"/>
    <x v="0"/>
    <x v="2"/>
    <n v="0"/>
    <n v="0"/>
    <n v="1"/>
    <x v="0"/>
    <x v="0"/>
  </r>
  <r>
    <x v="34"/>
    <s v="Shampoo"/>
    <x v="4"/>
    <x v="1"/>
    <x v="2"/>
    <n v="2"/>
    <n v="416.69"/>
    <n v="833.38"/>
    <n v="773.38"/>
    <n v="60"/>
    <x v="1"/>
    <x v="0"/>
    <n v="1"/>
    <n v="0"/>
    <n v="0"/>
    <x v="1"/>
    <x v="1"/>
  </r>
  <r>
    <x v="35"/>
    <s v="Table"/>
    <x v="0"/>
    <x v="4"/>
    <x v="0"/>
    <n v="8"/>
    <n v="341.07"/>
    <n v="2728.56"/>
    <n v="2663.06"/>
    <n v="65.5"/>
    <x v="2"/>
    <x v="1"/>
    <n v="0"/>
    <n v="1"/>
    <n v="0"/>
    <x v="2"/>
    <x v="2"/>
  </r>
  <r>
    <x v="36"/>
    <s v="Jeans"/>
    <x v="1"/>
    <x v="0"/>
    <x v="2"/>
    <n v="7"/>
    <n v="76.53"/>
    <n v="535.71"/>
    <n v="486.71000000000004"/>
    <n v="49"/>
    <x v="0"/>
    <x v="2"/>
    <n v="0"/>
    <n v="0"/>
    <n v="1"/>
    <x v="3"/>
    <x v="0"/>
  </r>
  <r>
    <x v="37"/>
    <s v="Chair"/>
    <x v="0"/>
    <x v="4"/>
    <x v="3"/>
    <n v="5"/>
    <n v="302.08"/>
    <n v="1510.4"/>
    <n v="1470.4"/>
    <n v="40"/>
    <x v="1"/>
    <x v="0"/>
    <n v="1"/>
    <n v="0"/>
    <n v="0"/>
    <x v="0"/>
    <x v="1"/>
  </r>
  <r>
    <x v="38"/>
    <s v="Shampoo"/>
    <x v="4"/>
    <x v="2"/>
    <x v="1"/>
    <n v="6"/>
    <n v="343.96"/>
    <n v="2063.7600000000002"/>
    <n v="2003.7600000000002"/>
    <n v="60"/>
    <x v="2"/>
    <x v="1"/>
    <n v="0"/>
    <n v="1"/>
    <n v="0"/>
    <x v="1"/>
    <x v="2"/>
  </r>
  <r>
    <x v="39"/>
    <s v="Chair"/>
    <x v="0"/>
    <x v="2"/>
    <x v="2"/>
    <n v="3"/>
    <n v="334.52"/>
    <n v="1003.56"/>
    <n v="938.06"/>
    <n v="65.5"/>
    <x v="0"/>
    <x v="2"/>
    <n v="0"/>
    <n v="0"/>
    <n v="1"/>
    <x v="2"/>
    <x v="0"/>
  </r>
  <r>
    <x v="40"/>
    <s v="Chair"/>
    <x v="0"/>
    <x v="4"/>
    <x v="0"/>
    <n v="6"/>
    <n v="108.38"/>
    <n v="650.28"/>
    <n v="601.28"/>
    <n v="49"/>
    <x v="1"/>
    <x v="0"/>
    <n v="1"/>
    <n v="0"/>
    <n v="0"/>
    <x v="3"/>
    <x v="1"/>
  </r>
  <r>
    <x v="41"/>
    <s v="Yoga Mat"/>
    <x v="3"/>
    <x v="0"/>
    <x v="0"/>
    <n v="6"/>
    <n v="135.08000000000001"/>
    <n v="810.48"/>
    <n v="770.48"/>
    <n v="40"/>
    <x v="2"/>
    <x v="0"/>
    <n v="1"/>
    <n v="0"/>
    <n v="0"/>
    <x v="0"/>
    <x v="2"/>
  </r>
  <r>
    <x v="42"/>
    <s v="Lamp"/>
    <x v="0"/>
    <x v="4"/>
    <x v="3"/>
    <n v="8"/>
    <n v="217.97"/>
    <n v="1743.76"/>
    <n v="1683.76"/>
    <n v="60"/>
    <x v="0"/>
    <x v="2"/>
    <n v="0"/>
    <n v="0"/>
    <n v="1"/>
    <x v="1"/>
    <x v="0"/>
  </r>
  <r>
    <x v="11"/>
    <s v="Lamp"/>
    <x v="0"/>
    <x v="2"/>
    <x v="2"/>
    <n v="10"/>
    <n v="315.7"/>
    <n v="3157"/>
    <n v="3091.5"/>
    <n v="65.5"/>
    <x v="1"/>
    <x v="0"/>
    <n v="1"/>
    <n v="0"/>
    <n v="0"/>
    <x v="2"/>
    <x v="1"/>
  </r>
  <r>
    <x v="43"/>
    <s v="Camera"/>
    <x v="2"/>
    <x v="2"/>
    <x v="2"/>
    <n v="4"/>
    <n v="275.02999999999997"/>
    <n v="1100.1199999999999"/>
    <n v="1051.1199999999999"/>
    <n v="49"/>
    <x v="2"/>
    <x v="1"/>
    <n v="0"/>
    <n v="1"/>
    <n v="0"/>
    <x v="3"/>
    <x v="2"/>
  </r>
  <r>
    <x v="44"/>
    <s v="Headphones"/>
    <x v="2"/>
    <x v="1"/>
    <x v="3"/>
    <n v="2"/>
    <n v="333.53"/>
    <n v="667.06"/>
    <n v="627.05999999999995"/>
    <n v="40"/>
    <x v="0"/>
    <x v="0"/>
    <n v="1"/>
    <n v="0"/>
    <n v="0"/>
    <x v="0"/>
    <x v="0"/>
  </r>
  <r>
    <x v="45"/>
    <s v="Tennis Racket"/>
    <x v="3"/>
    <x v="1"/>
    <x v="2"/>
    <n v="10"/>
    <n v="493.05"/>
    <n v="4930.5"/>
    <n v="4870.5"/>
    <n v="60"/>
    <x v="1"/>
    <x v="2"/>
    <n v="0"/>
    <n v="0"/>
    <n v="1"/>
    <x v="1"/>
    <x v="1"/>
  </r>
  <r>
    <x v="46"/>
    <s v="Smartphone"/>
    <x v="2"/>
    <x v="0"/>
    <x v="1"/>
    <n v="2"/>
    <n v="154.16"/>
    <n v="308.32"/>
    <n v="242.82"/>
    <n v="65.5"/>
    <x v="2"/>
    <x v="1"/>
    <n v="0"/>
    <n v="1"/>
    <n v="0"/>
    <x v="2"/>
    <x v="2"/>
  </r>
  <r>
    <x v="47"/>
    <s v="Face Cream"/>
    <x v="4"/>
    <x v="3"/>
    <x v="2"/>
    <n v="10"/>
    <n v="294.19"/>
    <n v="2941.9"/>
    <n v="2892.9"/>
    <n v="49"/>
    <x v="0"/>
    <x v="0"/>
    <n v="1"/>
    <n v="0"/>
    <n v="0"/>
    <x v="3"/>
    <x v="0"/>
  </r>
  <r>
    <x v="48"/>
    <s v="Sneakers"/>
    <x v="1"/>
    <x v="0"/>
    <x v="0"/>
    <n v="8"/>
    <n v="307.88"/>
    <n v="2463.04"/>
    <n v="2423.04"/>
    <n v="40"/>
    <x v="1"/>
    <x v="2"/>
    <n v="0"/>
    <n v="0"/>
    <n v="1"/>
    <x v="0"/>
    <x v="1"/>
  </r>
  <r>
    <x v="29"/>
    <s v="Football"/>
    <x v="3"/>
    <x v="3"/>
    <x v="0"/>
    <n v="10"/>
    <n v="223.77"/>
    <n v="2237.6999999999998"/>
    <n v="2177.6999999999998"/>
    <n v="60"/>
    <x v="2"/>
    <x v="0"/>
    <n v="1"/>
    <n v="0"/>
    <n v="0"/>
    <x v="1"/>
    <x v="2"/>
  </r>
  <r>
    <x v="10"/>
    <s v="Jacket"/>
    <x v="1"/>
    <x v="1"/>
    <x v="3"/>
    <n v="5"/>
    <n v="83.92"/>
    <n v="419.6"/>
    <n v="354.1"/>
    <n v="65.5"/>
    <x v="0"/>
    <x v="1"/>
    <n v="0"/>
    <n v="1"/>
    <n v="0"/>
    <x v="2"/>
    <x v="0"/>
  </r>
  <r>
    <x v="49"/>
    <s v="Smartphone"/>
    <x v="2"/>
    <x v="4"/>
    <x v="0"/>
    <n v="3"/>
    <n v="191.55"/>
    <n v="574.65"/>
    <n v="525.65"/>
    <n v="49"/>
    <x v="1"/>
    <x v="2"/>
    <n v="0"/>
    <n v="0"/>
    <n v="1"/>
    <x v="3"/>
    <x v="1"/>
  </r>
  <r>
    <x v="50"/>
    <s v="Table"/>
    <x v="0"/>
    <x v="3"/>
    <x v="2"/>
    <n v="5"/>
    <n v="290.39"/>
    <n v="1451.95"/>
    <n v="1411.95"/>
    <n v="40"/>
    <x v="2"/>
    <x v="0"/>
    <n v="1"/>
    <n v="0"/>
    <n v="0"/>
    <x v="0"/>
    <x v="2"/>
  </r>
  <r>
    <x v="51"/>
    <s v="Headphones"/>
    <x v="2"/>
    <x v="0"/>
    <x v="0"/>
    <n v="8"/>
    <n v="89.62"/>
    <n v="716.96"/>
    <n v="656.96"/>
    <n v="60"/>
    <x v="0"/>
    <x v="1"/>
    <n v="0"/>
    <n v="1"/>
    <n v="0"/>
    <x v="1"/>
    <x v="0"/>
  </r>
  <r>
    <x v="52"/>
    <s v="Jacket"/>
    <x v="1"/>
    <x v="4"/>
    <x v="1"/>
    <n v="7"/>
    <n v="252.53"/>
    <n v="1767.71"/>
    <n v="1702.21"/>
    <n v="65.5"/>
    <x v="1"/>
    <x v="0"/>
    <n v="1"/>
    <n v="0"/>
    <n v="0"/>
    <x v="2"/>
    <x v="1"/>
  </r>
  <r>
    <x v="53"/>
    <s v="Yoga Mat"/>
    <x v="3"/>
    <x v="2"/>
    <x v="1"/>
    <n v="9"/>
    <n v="127.33"/>
    <n v="1145.97"/>
    <n v="1096.97"/>
    <n v="49"/>
    <x v="2"/>
    <x v="2"/>
    <n v="0"/>
    <n v="0"/>
    <n v="1"/>
    <x v="3"/>
    <x v="2"/>
  </r>
  <r>
    <x v="54"/>
    <s v="Camera"/>
    <x v="2"/>
    <x v="4"/>
    <x v="0"/>
    <n v="4"/>
    <n v="165.21"/>
    <n v="660.84"/>
    <n v="620.84"/>
    <n v="40"/>
    <x v="0"/>
    <x v="0"/>
    <n v="1"/>
    <n v="0"/>
    <n v="0"/>
    <x v="0"/>
    <x v="0"/>
  </r>
  <r>
    <x v="55"/>
    <s v="Lamp"/>
    <x v="0"/>
    <x v="0"/>
    <x v="0"/>
    <n v="8"/>
    <n v="292.8"/>
    <n v="2342.4"/>
    <n v="2282.4"/>
    <n v="60"/>
    <x v="1"/>
    <x v="1"/>
    <n v="0"/>
    <n v="1"/>
    <n v="0"/>
    <x v="1"/>
    <x v="1"/>
  </r>
  <r>
    <x v="56"/>
    <s v="Sneakers"/>
    <x v="1"/>
    <x v="2"/>
    <x v="1"/>
    <n v="1"/>
    <n v="327.33"/>
    <n v="327.33"/>
    <n v="261.83"/>
    <n v="65.5"/>
    <x v="2"/>
    <x v="0"/>
    <n v="1"/>
    <n v="0"/>
    <n v="0"/>
    <x v="2"/>
    <x v="2"/>
  </r>
  <r>
    <x v="57"/>
    <s v="Curtains"/>
    <x v="0"/>
    <x v="3"/>
    <x v="3"/>
    <n v="6"/>
    <n v="201.52"/>
    <n v="1209.1199999999999"/>
    <n v="1160.1199999999999"/>
    <n v="49"/>
    <x v="0"/>
    <x v="2"/>
    <n v="0"/>
    <n v="0"/>
    <n v="1"/>
    <x v="3"/>
    <x v="0"/>
  </r>
  <r>
    <x v="58"/>
    <s v="Table"/>
    <x v="0"/>
    <x v="3"/>
    <x v="2"/>
    <n v="3"/>
    <n v="487.82"/>
    <n v="1463.46"/>
    <n v="1423.46"/>
    <n v="40"/>
    <x v="1"/>
    <x v="0"/>
    <n v="1"/>
    <n v="0"/>
    <n v="0"/>
    <x v="0"/>
    <x v="1"/>
  </r>
  <r>
    <x v="59"/>
    <s v="Yoga Mat"/>
    <x v="3"/>
    <x v="3"/>
    <x v="3"/>
    <n v="9"/>
    <n v="334.1"/>
    <n v="3006.9"/>
    <n v="2946.9"/>
    <n v="60"/>
    <x v="2"/>
    <x v="1"/>
    <n v="0"/>
    <n v="1"/>
    <n v="0"/>
    <x v="1"/>
    <x v="2"/>
  </r>
  <r>
    <x v="30"/>
    <s v="Chair"/>
    <x v="0"/>
    <x v="4"/>
    <x v="2"/>
    <n v="10"/>
    <n v="88.48"/>
    <n v="884.8"/>
    <n v="819.3"/>
    <n v="65.5"/>
    <x v="0"/>
    <x v="0"/>
    <n v="1"/>
    <n v="0"/>
    <n v="0"/>
    <x v="2"/>
    <x v="0"/>
  </r>
  <r>
    <x v="27"/>
    <s v="Lamp"/>
    <x v="0"/>
    <x v="1"/>
    <x v="3"/>
    <n v="2"/>
    <n v="115.48"/>
    <n v="230.96"/>
    <n v="181.96"/>
    <n v="49"/>
    <x v="1"/>
    <x v="2"/>
    <n v="0"/>
    <n v="0"/>
    <n v="1"/>
    <x v="3"/>
    <x v="1"/>
  </r>
  <r>
    <x v="35"/>
    <s v="Lamp"/>
    <x v="0"/>
    <x v="4"/>
    <x v="1"/>
    <n v="1"/>
    <n v="187.15"/>
    <n v="187.15"/>
    <n v="147.15"/>
    <n v="40"/>
    <x v="2"/>
    <x v="1"/>
    <n v="0"/>
    <n v="1"/>
    <n v="0"/>
    <x v="0"/>
    <x v="2"/>
  </r>
  <r>
    <x v="60"/>
    <s v="Tennis Racket"/>
    <x v="3"/>
    <x v="3"/>
    <x v="2"/>
    <n v="8"/>
    <n v="300.43"/>
    <n v="2403.44"/>
    <n v="2343.44"/>
    <n v="60"/>
    <x v="0"/>
    <x v="0"/>
    <n v="1"/>
    <n v="0"/>
    <n v="0"/>
    <x v="1"/>
    <x v="0"/>
  </r>
  <r>
    <x v="61"/>
    <s v="Camera"/>
    <x v="2"/>
    <x v="2"/>
    <x v="2"/>
    <n v="3"/>
    <n v="22.62"/>
    <n v="67.86"/>
    <n v="2.3599999999999994"/>
    <n v="65.5"/>
    <x v="1"/>
    <x v="0"/>
    <n v="1"/>
    <n v="0"/>
    <n v="0"/>
    <x v="2"/>
    <x v="1"/>
  </r>
  <r>
    <x v="62"/>
    <s v="Dumbbells"/>
    <x v="3"/>
    <x v="4"/>
    <x v="3"/>
    <n v="3"/>
    <n v="295.91000000000003"/>
    <n v="887.73"/>
    <n v="838.73"/>
    <n v="49"/>
    <x v="2"/>
    <x v="2"/>
    <n v="0"/>
    <n v="0"/>
    <n v="1"/>
    <x v="3"/>
    <x v="2"/>
  </r>
  <r>
    <x v="33"/>
    <s v="Yoga Mat"/>
    <x v="3"/>
    <x v="2"/>
    <x v="0"/>
    <n v="3"/>
    <n v="183.7"/>
    <n v="551.1"/>
    <n v="511.1"/>
    <n v="40"/>
    <x v="0"/>
    <x v="1"/>
    <n v="0"/>
    <n v="1"/>
    <n v="0"/>
    <x v="0"/>
    <x v="0"/>
  </r>
  <r>
    <x v="63"/>
    <s v="Dumbbells"/>
    <x v="3"/>
    <x v="3"/>
    <x v="1"/>
    <n v="3"/>
    <n v="269.45999999999998"/>
    <n v="808.38"/>
    <n v="748.38"/>
    <n v="60"/>
    <x v="1"/>
    <x v="0"/>
    <n v="1"/>
    <n v="0"/>
    <n v="0"/>
    <x v="1"/>
    <x v="1"/>
  </r>
  <r>
    <x v="64"/>
    <s v="Dumbbells"/>
    <x v="3"/>
    <x v="1"/>
    <x v="0"/>
    <n v="4"/>
    <n v="211.28"/>
    <n v="845.12"/>
    <n v="779.62"/>
    <n v="65.5"/>
    <x v="2"/>
    <x v="1"/>
    <n v="0"/>
    <n v="1"/>
    <n v="0"/>
    <x v="2"/>
    <x v="2"/>
  </r>
  <r>
    <x v="26"/>
    <s v="Curtains"/>
    <x v="0"/>
    <x v="2"/>
    <x v="1"/>
    <n v="5"/>
    <n v="362.47"/>
    <n v="1812.35"/>
    <n v="1763.35"/>
    <n v="49"/>
    <x v="0"/>
    <x v="0"/>
    <n v="1"/>
    <n v="0"/>
    <n v="0"/>
    <x v="3"/>
    <x v="0"/>
  </r>
  <r>
    <x v="11"/>
    <s v="Perfume"/>
    <x v="4"/>
    <x v="3"/>
    <x v="3"/>
    <n v="8"/>
    <n v="259.56"/>
    <n v="2076.48"/>
    <n v="2036.48"/>
    <n v="40"/>
    <x v="1"/>
    <x v="0"/>
    <n v="1"/>
    <n v="0"/>
    <n v="0"/>
    <x v="0"/>
    <x v="1"/>
  </r>
  <r>
    <x v="48"/>
    <s v="Curtains"/>
    <x v="0"/>
    <x v="2"/>
    <x v="3"/>
    <n v="1"/>
    <n v="134.63"/>
    <n v="134.63"/>
    <n v="74.63"/>
    <n v="60"/>
    <x v="2"/>
    <x v="2"/>
    <n v="0"/>
    <n v="0"/>
    <n v="1"/>
    <x v="1"/>
    <x v="2"/>
  </r>
  <r>
    <x v="65"/>
    <s v="Dumbbells"/>
    <x v="3"/>
    <x v="3"/>
    <x v="1"/>
    <n v="10"/>
    <n v="272.01"/>
    <n v="2720.1"/>
    <n v="2654.6"/>
    <n v="65.5"/>
    <x v="0"/>
    <x v="1"/>
    <n v="0"/>
    <n v="1"/>
    <n v="0"/>
    <x v="2"/>
    <x v="0"/>
  </r>
  <r>
    <x v="66"/>
    <s v="Laptop"/>
    <x v="2"/>
    <x v="3"/>
    <x v="3"/>
    <n v="4"/>
    <n v="265.89"/>
    <n v="1063.56"/>
    <n v="1014.56"/>
    <n v="49"/>
    <x v="1"/>
    <x v="0"/>
    <n v="1"/>
    <n v="0"/>
    <n v="0"/>
    <x v="3"/>
    <x v="1"/>
  </r>
  <r>
    <x v="67"/>
    <s v="Yoga Mat"/>
    <x v="3"/>
    <x v="0"/>
    <x v="1"/>
    <n v="4"/>
    <n v="327.41000000000003"/>
    <n v="1309.6400000000001"/>
    <n v="1269.6400000000001"/>
    <n v="40"/>
    <x v="2"/>
    <x v="0"/>
    <n v="1"/>
    <n v="0"/>
    <n v="0"/>
    <x v="0"/>
    <x v="2"/>
  </r>
  <r>
    <x v="68"/>
    <s v="T-Shirt"/>
    <x v="1"/>
    <x v="0"/>
    <x v="0"/>
    <n v="2"/>
    <n v="395.91"/>
    <n v="791.82"/>
    <n v="731.82"/>
    <n v="60"/>
    <x v="0"/>
    <x v="2"/>
    <n v="0"/>
    <n v="0"/>
    <n v="1"/>
    <x v="1"/>
    <x v="0"/>
  </r>
  <r>
    <x v="69"/>
    <s v="Tennis Racket"/>
    <x v="3"/>
    <x v="1"/>
    <x v="1"/>
    <n v="10"/>
    <n v="66.56"/>
    <n v="665.6"/>
    <n v="600.1"/>
    <n v="65.5"/>
    <x v="1"/>
    <x v="1"/>
    <n v="0"/>
    <n v="1"/>
    <n v="0"/>
    <x v="2"/>
    <x v="1"/>
  </r>
  <r>
    <x v="70"/>
    <s v="Laptop"/>
    <x v="2"/>
    <x v="3"/>
    <x v="2"/>
    <n v="5"/>
    <n v="432.3"/>
    <n v="2161.5"/>
    <n v="2112.5"/>
    <n v="49"/>
    <x v="2"/>
    <x v="0"/>
    <n v="1"/>
    <n v="0"/>
    <n v="0"/>
    <x v="3"/>
    <x v="2"/>
  </r>
  <r>
    <x v="71"/>
    <s v="Lamp"/>
    <x v="0"/>
    <x v="2"/>
    <x v="2"/>
    <n v="7"/>
    <n v="272.05"/>
    <n v="1904.35"/>
    <n v="1864.35"/>
    <n v="40"/>
    <x v="0"/>
    <x v="0"/>
    <n v="1"/>
    <n v="0"/>
    <n v="0"/>
    <x v="0"/>
    <x v="0"/>
  </r>
  <r>
    <x v="72"/>
    <s v="T-Shirt"/>
    <x v="1"/>
    <x v="3"/>
    <x v="3"/>
    <n v="7"/>
    <n v="301.27999999999997"/>
    <n v="2108.96"/>
    <n v="2048.96"/>
    <n v="60"/>
    <x v="1"/>
    <x v="2"/>
    <n v="0"/>
    <n v="0"/>
    <n v="1"/>
    <x v="1"/>
    <x v="1"/>
  </r>
  <r>
    <x v="73"/>
    <s v="Lamp"/>
    <x v="0"/>
    <x v="2"/>
    <x v="0"/>
    <n v="9"/>
    <n v="23.52"/>
    <n v="211.68"/>
    <n v="146.18"/>
    <n v="65.5"/>
    <x v="2"/>
    <x v="0"/>
    <n v="1"/>
    <n v="0"/>
    <n v="0"/>
    <x v="2"/>
    <x v="2"/>
  </r>
  <r>
    <x v="74"/>
    <s v="Face Cream"/>
    <x v="4"/>
    <x v="1"/>
    <x v="0"/>
    <n v="6"/>
    <n v="281.85000000000002"/>
    <n v="1691.1"/>
    <n v="1642.1"/>
    <n v="49"/>
    <x v="0"/>
    <x v="1"/>
    <n v="0"/>
    <n v="1"/>
    <n v="0"/>
    <x v="3"/>
    <x v="0"/>
  </r>
  <r>
    <x v="75"/>
    <s v="Table"/>
    <x v="0"/>
    <x v="3"/>
    <x v="2"/>
    <n v="6"/>
    <n v="157.88"/>
    <n v="947.28"/>
    <n v="907.28"/>
    <n v="40"/>
    <x v="1"/>
    <x v="2"/>
    <n v="0"/>
    <n v="0"/>
    <n v="1"/>
    <x v="0"/>
    <x v="1"/>
  </r>
  <r>
    <x v="76"/>
    <s v="Face Cream"/>
    <x v="4"/>
    <x v="1"/>
    <x v="0"/>
    <n v="7"/>
    <n v="98.66"/>
    <n v="690.62"/>
    <n v="630.62"/>
    <n v="60"/>
    <x v="2"/>
    <x v="0"/>
    <n v="1"/>
    <n v="0"/>
    <n v="0"/>
    <x v="1"/>
    <x v="2"/>
  </r>
  <r>
    <x v="77"/>
    <s v="Face Cream"/>
    <x v="4"/>
    <x v="2"/>
    <x v="2"/>
    <n v="2"/>
    <n v="37.119999999999997"/>
    <n v="74.239999999999995"/>
    <n v="8.7399999999999949"/>
    <n v="65.5"/>
    <x v="0"/>
    <x v="1"/>
    <n v="0"/>
    <n v="1"/>
    <n v="0"/>
    <x v="2"/>
    <x v="0"/>
  </r>
  <r>
    <x v="78"/>
    <s v="Camera"/>
    <x v="2"/>
    <x v="2"/>
    <x v="0"/>
    <n v="9"/>
    <n v="191.38"/>
    <n v="1722.42"/>
    <n v="1673.42"/>
    <n v="49"/>
    <x v="1"/>
    <x v="2"/>
    <n v="0"/>
    <n v="0"/>
    <n v="1"/>
    <x v="3"/>
    <x v="1"/>
  </r>
  <r>
    <x v="79"/>
    <s v="Smartphone"/>
    <x v="2"/>
    <x v="3"/>
    <x v="1"/>
    <n v="2"/>
    <n v="301.12"/>
    <n v="602.24"/>
    <n v="562.24"/>
    <n v="40"/>
    <x v="2"/>
    <x v="0"/>
    <n v="1"/>
    <n v="0"/>
    <n v="0"/>
    <x v="0"/>
    <x v="2"/>
  </r>
  <r>
    <x v="54"/>
    <s v="Shampoo"/>
    <x v="4"/>
    <x v="4"/>
    <x v="3"/>
    <n v="4"/>
    <n v="415.24"/>
    <n v="1660.96"/>
    <n v="1600.96"/>
    <n v="60"/>
    <x v="0"/>
    <x v="0"/>
    <n v="1"/>
    <n v="0"/>
    <n v="0"/>
    <x v="1"/>
    <x v="0"/>
  </r>
  <r>
    <x v="80"/>
    <s v="Smartphone"/>
    <x v="2"/>
    <x v="2"/>
    <x v="0"/>
    <n v="3"/>
    <n v="115.83"/>
    <n v="347.49"/>
    <n v="281.99"/>
    <n v="65.5"/>
    <x v="1"/>
    <x v="1"/>
    <n v="0"/>
    <n v="1"/>
    <n v="0"/>
    <x v="2"/>
    <x v="1"/>
  </r>
  <r>
    <x v="81"/>
    <s v="Jacket"/>
    <x v="1"/>
    <x v="2"/>
    <x v="3"/>
    <n v="6"/>
    <n v="229.86"/>
    <n v="1379.16"/>
    <n v="1330.16"/>
    <n v="49"/>
    <x v="2"/>
    <x v="0"/>
    <n v="1"/>
    <n v="0"/>
    <n v="0"/>
    <x v="3"/>
    <x v="2"/>
  </r>
  <r>
    <x v="82"/>
    <s v="Tennis Racket"/>
    <x v="3"/>
    <x v="3"/>
    <x v="2"/>
    <n v="10"/>
    <n v="98.84"/>
    <n v="988.4"/>
    <n v="948.4"/>
    <n v="40"/>
    <x v="0"/>
    <x v="2"/>
    <n v="0"/>
    <n v="0"/>
    <n v="1"/>
    <x v="0"/>
    <x v="0"/>
  </r>
  <r>
    <x v="83"/>
    <s v="Lipstick"/>
    <x v="4"/>
    <x v="3"/>
    <x v="1"/>
    <n v="10"/>
    <n v="200.83"/>
    <n v="2008.3"/>
    <n v="1948.3"/>
    <n v="60"/>
    <x v="1"/>
    <x v="1"/>
    <n v="0"/>
    <n v="1"/>
    <n v="0"/>
    <x v="1"/>
    <x v="1"/>
  </r>
  <r>
    <x v="5"/>
    <s v="Lamp"/>
    <x v="0"/>
    <x v="1"/>
    <x v="3"/>
    <n v="1"/>
    <n v="310.54000000000002"/>
    <n v="310.54000000000002"/>
    <n v="245.04000000000002"/>
    <n v="65.5"/>
    <x v="2"/>
    <x v="0"/>
    <n v="1"/>
    <n v="0"/>
    <n v="0"/>
    <x v="2"/>
    <x v="2"/>
  </r>
  <r>
    <x v="43"/>
    <s v="Laptop"/>
    <x v="2"/>
    <x v="3"/>
    <x v="1"/>
    <n v="8"/>
    <n v="228.57"/>
    <n v="1828.56"/>
    <n v="1779.56"/>
    <n v="49"/>
    <x v="0"/>
    <x v="2"/>
    <n v="0"/>
    <n v="0"/>
    <n v="1"/>
    <x v="3"/>
    <x v="0"/>
  </r>
  <r>
    <x v="84"/>
    <s v="Yoga Mat"/>
    <x v="3"/>
    <x v="4"/>
    <x v="2"/>
    <n v="2"/>
    <n v="495.03"/>
    <n v="990.06"/>
    <n v="950.06"/>
    <n v="40"/>
    <x v="1"/>
    <x v="0"/>
    <n v="1"/>
    <n v="0"/>
    <n v="0"/>
    <x v="0"/>
    <x v="1"/>
  </r>
  <r>
    <x v="85"/>
    <s v="Jacket"/>
    <x v="1"/>
    <x v="3"/>
    <x v="3"/>
    <n v="7"/>
    <n v="75.27"/>
    <n v="526.89"/>
    <n v="466.89"/>
    <n v="60"/>
    <x v="2"/>
    <x v="1"/>
    <n v="0"/>
    <n v="1"/>
    <n v="0"/>
    <x v="1"/>
    <x v="2"/>
  </r>
  <r>
    <x v="86"/>
    <s v="Sneakers"/>
    <x v="1"/>
    <x v="1"/>
    <x v="0"/>
    <n v="6"/>
    <n v="156.28"/>
    <n v="937.68"/>
    <n v="872.18"/>
    <n v="65.5"/>
    <x v="0"/>
    <x v="0"/>
    <n v="1"/>
    <n v="0"/>
    <n v="0"/>
    <x v="2"/>
    <x v="0"/>
  </r>
  <r>
    <x v="50"/>
    <s v="Laptop"/>
    <x v="2"/>
    <x v="2"/>
    <x v="3"/>
    <n v="5"/>
    <n v="273.58"/>
    <n v="1367.9"/>
    <n v="1318.9"/>
    <n v="49"/>
    <x v="1"/>
    <x v="2"/>
    <n v="0"/>
    <n v="0"/>
    <n v="1"/>
    <x v="3"/>
    <x v="1"/>
  </r>
  <r>
    <x v="87"/>
    <s v="Table"/>
    <x v="0"/>
    <x v="3"/>
    <x v="1"/>
    <n v="9"/>
    <n v="393.82"/>
    <n v="3544.38"/>
    <n v="3504.38"/>
    <n v="40"/>
    <x v="2"/>
    <x v="0"/>
    <n v="1"/>
    <n v="0"/>
    <n v="0"/>
    <x v="0"/>
    <x v="2"/>
  </r>
  <r>
    <x v="75"/>
    <s v="Dumbbells"/>
    <x v="3"/>
    <x v="4"/>
    <x v="2"/>
    <n v="5"/>
    <n v="439.15"/>
    <n v="2195.75"/>
    <n v="2135.75"/>
    <n v="60"/>
    <x v="0"/>
    <x v="1"/>
    <n v="0"/>
    <n v="1"/>
    <n v="0"/>
    <x v="1"/>
    <x v="0"/>
  </r>
  <r>
    <x v="46"/>
    <s v="Dumbbells"/>
    <x v="3"/>
    <x v="4"/>
    <x v="2"/>
    <n v="5"/>
    <n v="417.04"/>
    <n v="2085.1999999999998"/>
    <n v="2019.6999999999998"/>
    <n v="65.5"/>
    <x v="1"/>
    <x v="0"/>
    <n v="1"/>
    <n v="0"/>
    <n v="0"/>
    <x v="2"/>
    <x v="1"/>
  </r>
  <r>
    <x v="11"/>
    <s v="Dumbbells"/>
    <x v="3"/>
    <x v="2"/>
    <x v="1"/>
    <n v="7"/>
    <n v="178.61"/>
    <n v="1250.27"/>
    <n v="1201.27"/>
    <n v="49"/>
    <x v="2"/>
    <x v="2"/>
    <n v="0"/>
    <n v="0"/>
    <n v="1"/>
    <x v="3"/>
    <x v="2"/>
  </r>
  <r>
    <x v="88"/>
    <s v="Shampoo"/>
    <x v="4"/>
    <x v="2"/>
    <x v="0"/>
    <n v="7"/>
    <n v="161.06"/>
    <n v="1127.42"/>
    <n v="1087.42"/>
    <n v="40"/>
    <x v="0"/>
    <x v="0"/>
    <n v="1"/>
    <n v="0"/>
    <n v="0"/>
    <x v="0"/>
    <x v="0"/>
  </r>
  <r>
    <x v="89"/>
    <s v="Tennis Racket"/>
    <x v="3"/>
    <x v="1"/>
    <x v="3"/>
    <n v="4"/>
    <n v="23.62"/>
    <n v="94.48"/>
    <n v="34.480000000000004"/>
    <n v="60"/>
    <x v="1"/>
    <x v="1"/>
    <n v="0"/>
    <n v="1"/>
    <n v="0"/>
    <x v="1"/>
    <x v="1"/>
  </r>
  <r>
    <x v="29"/>
    <s v="Laptop"/>
    <x v="2"/>
    <x v="0"/>
    <x v="1"/>
    <n v="1"/>
    <n v="340.59"/>
    <n v="340.59"/>
    <n v="275.08999999999997"/>
    <n v="65.5"/>
    <x v="2"/>
    <x v="2"/>
    <n v="0"/>
    <n v="0"/>
    <n v="1"/>
    <x v="2"/>
    <x v="2"/>
  </r>
  <r>
    <x v="44"/>
    <s v="Camera"/>
    <x v="2"/>
    <x v="0"/>
    <x v="0"/>
    <n v="2"/>
    <n v="362.31"/>
    <n v="724.62"/>
    <n v="675.62"/>
    <n v="49"/>
    <x v="0"/>
    <x v="0"/>
    <n v="1"/>
    <n v="0"/>
    <n v="0"/>
    <x v="3"/>
    <x v="0"/>
  </r>
  <r>
    <x v="90"/>
    <s v="Football"/>
    <x v="3"/>
    <x v="2"/>
    <x v="2"/>
    <n v="8"/>
    <n v="418.71"/>
    <n v="3349.68"/>
    <n v="3309.68"/>
    <n v="40"/>
    <x v="1"/>
    <x v="1"/>
    <n v="0"/>
    <n v="1"/>
    <n v="0"/>
    <x v="0"/>
    <x v="1"/>
  </r>
  <r>
    <x v="91"/>
    <s v="Sneakers"/>
    <x v="1"/>
    <x v="0"/>
    <x v="3"/>
    <n v="6"/>
    <n v="111.13"/>
    <n v="666.78"/>
    <n v="606.78"/>
    <n v="60"/>
    <x v="2"/>
    <x v="0"/>
    <n v="1"/>
    <n v="0"/>
    <n v="0"/>
    <x v="1"/>
    <x v="2"/>
  </r>
  <r>
    <x v="92"/>
    <s v="Football"/>
    <x v="3"/>
    <x v="2"/>
    <x v="2"/>
    <n v="9"/>
    <n v="484.72"/>
    <n v="4362.4799999999996"/>
    <n v="4296.9799999999996"/>
    <n v="65.5"/>
    <x v="0"/>
    <x v="0"/>
    <n v="1"/>
    <n v="0"/>
    <n v="0"/>
    <x v="2"/>
    <x v="0"/>
  </r>
  <r>
    <x v="93"/>
    <s v="T-Shirt"/>
    <x v="1"/>
    <x v="2"/>
    <x v="1"/>
    <n v="1"/>
    <n v="67.53"/>
    <n v="67.53"/>
    <n v="18.53"/>
    <n v="49"/>
    <x v="1"/>
    <x v="1"/>
    <n v="0"/>
    <n v="1"/>
    <n v="0"/>
    <x v="3"/>
    <x v="1"/>
  </r>
  <r>
    <x v="90"/>
    <s v="Headphones"/>
    <x v="2"/>
    <x v="2"/>
    <x v="1"/>
    <n v="2"/>
    <n v="368.03"/>
    <n v="736.06"/>
    <n v="696.06"/>
    <n v="40"/>
    <x v="2"/>
    <x v="0"/>
    <n v="1"/>
    <n v="0"/>
    <n v="0"/>
    <x v="0"/>
    <x v="2"/>
  </r>
  <r>
    <x v="94"/>
    <s v="Lamp"/>
    <x v="0"/>
    <x v="4"/>
    <x v="1"/>
    <n v="1"/>
    <n v="372.87"/>
    <n v="372.87"/>
    <n v="312.87"/>
    <n v="60"/>
    <x v="0"/>
    <x v="2"/>
    <n v="0"/>
    <n v="0"/>
    <n v="1"/>
    <x v="1"/>
    <x v="0"/>
  </r>
  <r>
    <x v="95"/>
    <s v="Table"/>
    <x v="0"/>
    <x v="2"/>
    <x v="3"/>
    <n v="10"/>
    <n v="51.96"/>
    <n v="519.6"/>
    <n v="454.1"/>
    <n v="65.5"/>
    <x v="1"/>
    <x v="1"/>
    <n v="0"/>
    <n v="1"/>
    <n v="0"/>
    <x v="2"/>
    <x v="1"/>
  </r>
  <r>
    <x v="96"/>
    <s v="Shampoo"/>
    <x v="4"/>
    <x v="3"/>
    <x v="1"/>
    <n v="8"/>
    <n v="434.36"/>
    <n v="3474.88"/>
    <n v="3425.88"/>
    <n v="49"/>
    <x v="2"/>
    <x v="0"/>
    <n v="1"/>
    <n v="0"/>
    <n v="0"/>
    <x v="3"/>
    <x v="2"/>
  </r>
  <r>
    <x v="14"/>
    <s v="Jeans"/>
    <x v="1"/>
    <x v="1"/>
    <x v="2"/>
    <n v="3"/>
    <n v="400.96"/>
    <n v="1202.8800000000001"/>
    <n v="1162.8800000000001"/>
    <n v="40"/>
    <x v="0"/>
    <x v="1"/>
    <n v="0"/>
    <n v="1"/>
    <n v="0"/>
    <x v="0"/>
    <x v="0"/>
  </r>
  <r>
    <x v="44"/>
    <s v="Shampoo"/>
    <x v="4"/>
    <x v="4"/>
    <x v="1"/>
    <n v="1"/>
    <n v="55.02"/>
    <n v="55.02"/>
    <n v="-4.9799999999999969"/>
    <n v="60"/>
    <x v="1"/>
    <x v="0"/>
    <n v="1"/>
    <n v="0"/>
    <n v="0"/>
    <x v="1"/>
    <x v="1"/>
  </r>
  <r>
    <x v="97"/>
    <s v="Camera"/>
    <x v="2"/>
    <x v="0"/>
    <x v="2"/>
    <n v="5"/>
    <n v="187.23"/>
    <n v="936.15"/>
    <n v="870.65"/>
    <n v="65.5"/>
    <x v="2"/>
    <x v="0"/>
    <n v="1"/>
    <n v="0"/>
    <n v="0"/>
    <x v="2"/>
    <x v="2"/>
  </r>
  <r>
    <x v="98"/>
    <s v="Headphones"/>
    <x v="2"/>
    <x v="3"/>
    <x v="1"/>
    <n v="9"/>
    <n v="202.72"/>
    <n v="1824.48"/>
    <n v="1775.48"/>
    <n v="49"/>
    <x v="0"/>
    <x v="1"/>
    <n v="0"/>
    <n v="1"/>
    <n v="0"/>
    <x v="3"/>
    <x v="0"/>
  </r>
  <r>
    <x v="99"/>
    <s v="Headphones"/>
    <x v="2"/>
    <x v="0"/>
    <x v="2"/>
    <n v="3"/>
    <n v="276.01"/>
    <n v="828.03"/>
    <n v="788.03"/>
    <n v="40"/>
    <x v="1"/>
    <x v="2"/>
    <n v="0"/>
    <n v="0"/>
    <n v="1"/>
    <x v="0"/>
    <x v="1"/>
  </r>
  <r>
    <x v="100"/>
    <s v="Tennis Racket"/>
    <x v="3"/>
    <x v="4"/>
    <x v="1"/>
    <n v="10"/>
    <n v="281.43"/>
    <n v="2814.3"/>
    <n v="2754.3"/>
    <n v="60"/>
    <x v="2"/>
    <x v="0"/>
    <n v="1"/>
    <n v="0"/>
    <n v="0"/>
    <x v="1"/>
    <x v="2"/>
  </r>
  <r>
    <x v="101"/>
    <s v="Shampoo"/>
    <x v="4"/>
    <x v="3"/>
    <x v="2"/>
    <n v="7"/>
    <n v="483.02"/>
    <n v="3381.14"/>
    <n v="3315.64"/>
    <n v="65.5"/>
    <x v="0"/>
    <x v="1"/>
    <n v="0"/>
    <n v="1"/>
    <n v="0"/>
    <x v="2"/>
    <x v="0"/>
  </r>
  <r>
    <x v="102"/>
    <s v="Football"/>
    <x v="3"/>
    <x v="3"/>
    <x v="0"/>
    <n v="10"/>
    <n v="84.68"/>
    <n v="846.8"/>
    <n v="797.8"/>
    <n v="49"/>
    <x v="1"/>
    <x v="0"/>
    <n v="1"/>
    <n v="0"/>
    <n v="0"/>
    <x v="3"/>
    <x v="1"/>
  </r>
  <r>
    <x v="103"/>
    <s v="Laptop"/>
    <x v="2"/>
    <x v="0"/>
    <x v="3"/>
    <n v="3"/>
    <n v="306.7"/>
    <n v="920.1"/>
    <n v="880.1"/>
    <n v="40"/>
    <x v="2"/>
    <x v="0"/>
    <n v="1"/>
    <n v="0"/>
    <n v="0"/>
    <x v="0"/>
    <x v="2"/>
  </r>
  <r>
    <x v="104"/>
    <s v="Laptop"/>
    <x v="2"/>
    <x v="3"/>
    <x v="2"/>
    <n v="2"/>
    <n v="68.94"/>
    <n v="137.88"/>
    <n v="77.88"/>
    <n v="60"/>
    <x v="0"/>
    <x v="2"/>
    <n v="0"/>
    <n v="0"/>
    <n v="1"/>
    <x v="1"/>
    <x v="0"/>
  </r>
  <r>
    <x v="105"/>
    <s v="Smartphone"/>
    <x v="2"/>
    <x v="0"/>
    <x v="3"/>
    <n v="7"/>
    <n v="483.1"/>
    <n v="3381.7"/>
    <n v="3316.2"/>
    <n v="65.5"/>
    <x v="1"/>
    <x v="0"/>
    <n v="1"/>
    <n v="0"/>
    <n v="0"/>
    <x v="2"/>
    <x v="1"/>
  </r>
  <r>
    <x v="106"/>
    <s v="Shampoo"/>
    <x v="4"/>
    <x v="3"/>
    <x v="1"/>
    <n v="2"/>
    <n v="439.62"/>
    <n v="879.24"/>
    <n v="830.24"/>
    <n v="49"/>
    <x v="2"/>
    <x v="1"/>
    <n v="0"/>
    <n v="1"/>
    <n v="0"/>
    <x v="3"/>
    <x v="2"/>
  </r>
  <r>
    <x v="58"/>
    <s v="Football"/>
    <x v="3"/>
    <x v="4"/>
    <x v="3"/>
    <n v="9"/>
    <n v="153.18"/>
    <n v="1378.62"/>
    <n v="1338.62"/>
    <n v="40"/>
    <x v="0"/>
    <x v="0"/>
    <n v="1"/>
    <n v="0"/>
    <n v="0"/>
    <x v="0"/>
    <x v="0"/>
  </r>
  <r>
    <x v="103"/>
    <s v="Tennis Racket"/>
    <x v="3"/>
    <x v="3"/>
    <x v="0"/>
    <n v="5"/>
    <n v="51.53"/>
    <n v="257.64999999999998"/>
    <n v="197.64999999999998"/>
    <n v="60"/>
    <x v="1"/>
    <x v="0"/>
    <n v="1"/>
    <n v="0"/>
    <n v="0"/>
    <x v="1"/>
    <x v="1"/>
  </r>
  <r>
    <x v="107"/>
    <s v="T-Shirt"/>
    <x v="1"/>
    <x v="2"/>
    <x v="3"/>
    <n v="4"/>
    <n v="231.62"/>
    <n v="926.48"/>
    <n v="860.98"/>
    <n v="65.5"/>
    <x v="2"/>
    <x v="1"/>
    <n v="0"/>
    <n v="1"/>
    <n v="0"/>
    <x v="2"/>
    <x v="2"/>
  </r>
  <r>
    <x v="87"/>
    <s v="Dumbbells"/>
    <x v="3"/>
    <x v="3"/>
    <x v="2"/>
    <n v="5"/>
    <n v="303.83999999999997"/>
    <n v="1519.2"/>
    <n v="1470.2"/>
    <n v="49"/>
    <x v="0"/>
    <x v="2"/>
    <n v="0"/>
    <n v="0"/>
    <n v="1"/>
    <x v="3"/>
    <x v="0"/>
  </r>
  <r>
    <x v="0"/>
    <s v="Dumbbells"/>
    <x v="3"/>
    <x v="4"/>
    <x v="3"/>
    <n v="9"/>
    <n v="374.31"/>
    <n v="3368.79"/>
    <n v="3328.79"/>
    <n v="40"/>
    <x v="1"/>
    <x v="0"/>
    <n v="1"/>
    <n v="0"/>
    <n v="0"/>
    <x v="0"/>
    <x v="1"/>
  </r>
  <r>
    <x v="108"/>
    <s v="Laptop"/>
    <x v="2"/>
    <x v="4"/>
    <x v="1"/>
    <n v="5"/>
    <n v="158.87"/>
    <n v="794.35"/>
    <n v="734.35"/>
    <n v="60"/>
    <x v="2"/>
    <x v="0"/>
    <n v="1"/>
    <n v="0"/>
    <n v="0"/>
    <x v="1"/>
    <x v="2"/>
  </r>
  <r>
    <x v="109"/>
    <s v="Jacket"/>
    <x v="1"/>
    <x v="4"/>
    <x v="3"/>
    <n v="3"/>
    <n v="174.34"/>
    <n v="523.02"/>
    <n v="457.52"/>
    <n v="65.5"/>
    <x v="0"/>
    <x v="0"/>
    <n v="1"/>
    <n v="0"/>
    <n v="0"/>
    <x v="2"/>
    <x v="0"/>
  </r>
  <r>
    <x v="110"/>
    <s v="Jeans"/>
    <x v="1"/>
    <x v="1"/>
    <x v="3"/>
    <n v="6"/>
    <n v="237.96"/>
    <n v="1427.76"/>
    <n v="1378.76"/>
    <n v="49"/>
    <x v="1"/>
    <x v="1"/>
    <n v="0"/>
    <n v="1"/>
    <n v="0"/>
    <x v="3"/>
    <x v="1"/>
  </r>
  <r>
    <x v="21"/>
    <s v="T-Shirt"/>
    <x v="1"/>
    <x v="0"/>
    <x v="0"/>
    <n v="1"/>
    <n v="347.92"/>
    <n v="347.92"/>
    <n v="307.92"/>
    <n v="40"/>
    <x v="2"/>
    <x v="2"/>
    <n v="0"/>
    <n v="0"/>
    <n v="1"/>
    <x v="0"/>
    <x v="2"/>
  </r>
  <r>
    <x v="111"/>
    <s v="Camera"/>
    <x v="2"/>
    <x v="0"/>
    <x v="3"/>
    <n v="9"/>
    <n v="227.15"/>
    <n v="2044.35"/>
    <n v="1984.35"/>
    <n v="60"/>
    <x v="0"/>
    <x v="0"/>
    <n v="1"/>
    <n v="0"/>
    <n v="0"/>
    <x v="1"/>
    <x v="0"/>
  </r>
  <r>
    <x v="78"/>
    <s v="Football"/>
    <x v="3"/>
    <x v="1"/>
    <x v="2"/>
    <n v="7"/>
    <n v="459.54"/>
    <n v="3216.78"/>
    <n v="3151.28"/>
    <n v="65.5"/>
    <x v="1"/>
    <x v="0"/>
    <n v="1"/>
    <n v="0"/>
    <n v="0"/>
    <x v="2"/>
    <x v="1"/>
  </r>
  <r>
    <x v="112"/>
    <s v="Shampoo"/>
    <x v="4"/>
    <x v="2"/>
    <x v="1"/>
    <n v="8"/>
    <n v="103.76"/>
    <n v="830.08"/>
    <n v="781.08"/>
    <n v="49"/>
    <x v="2"/>
    <x v="1"/>
    <n v="0"/>
    <n v="1"/>
    <n v="0"/>
    <x v="3"/>
    <x v="2"/>
  </r>
  <r>
    <x v="113"/>
    <s v="Lamp"/>
    <x v="0"/>
    <x v="1"/>
    <x v="2"/>
    <n v="4"/>
    <n v="162.47999999999999"/>
    <n v="649.91999999999996"/>
    <n v="609.91999999999996"/>
    <n v="40"/>
    <x v="0"/>
    <x v="0"/>
    <n v="1"/>
    <n v="0"/>
    <n v="0"/>
    <x v="0"/>
    <x v="0"/>
  </r>
  <r>
    <x v="114"/>
    <s v="Dumbbells"/>
    <x v="3"/>
    <x v="0"/>
    <x v="1"/>
    <n v="10"/>
    <n v="276.17"/>
    <n v="2761.7"/>
    <n v="2701.7"/>
    <n v="60"/>
    <x v="1"/>
    <x v="2"/>
    <n v="0"/>
    <n v="0"/>
    <n v="1"/>
    <x v="1"/>
    <x v="1"/>
  </r>
  <r>
    <x v="115"/>
    <s v="Lipstick"/>
    <x v="4"/>
    <x v="1"/>
    <x v="0"/>
    <n v="1"/>
    <n v="154.79"/>
    <n v="154.79"/>
    <n v="89.289999999999992"/>
    <n v="65.5"/>
    <x v="2"/>
    <x v="0"/>
    <n v="1"/>
    <n v="0"/>
    <n v="0"/>
    <x v="2"/>
    <x v="2"/>
  </r>
  <r>
    <x v="116"/>
    <s v="Table"/>
    <x v="0"/>
    <x v="0"/>
    <x v="3"/>
    <n v="6"/>
    <n v="482.61"/>
    <n v="2895.66"/>
    <n v="2846.66"/>
    <n v="49"/>
    <x v="0"/>
    <x v="1"/>
    <n v="0"/>
    <n v="1"/>
    <n v="0"/>
    <x v="3"/>
    <x v="0"/>
  </r>
  <r>
    <x v="117"/>
    <s v="Jacket"/>
    <x v="1"/>
    <x v="2"/>
    <x v="3"/>
    <n v="1"/>
    <n v="96.33"/>
    <n v="96.33"/>
    <n v="56.33"/>
    <n v="40"/>
    <x v="1"/>
    <x v="2"/>
    <n v="0"/>
    <n v="0"/>
    <n v="1"/>
    <x v="0"/>
    <x v="1"/>
  </r>
  <r>
    <x v="118"/>
    <s v="Lipstick"/>
    <x v="4"/>
    <x v="1"/>
    <x v="3"/>
    <n v="6"/>
    <n v="465.34"/>
    <n v="2792.04"/>
    <n v="2732.04"/>
    <n v="60"/>
    <x v="2"/>
    <x v="0"/>
    <n v="1"/>
    <n v="0"/>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D3CAC-7E5A-49A7-8778-809CBD4AAC05}" name="Diagnostic" cacheId="8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9">
  <location ref="X5:AE22" firstHeaderRow="0"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showAll="0"/>
    <pivotField showAll="0"/>
    <pivotField axis="axisRow">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axis="axisRow" dataField="1" showAll="0">
      <items count="4">
        <item x="2"/>
        <item x="0"/>
        <item x="1"/>
        <item t="default"/>
      </items>
    </pivotField>
    <pivotField dataField="1"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4"/>
    <field x="11"/>
  </rowFields>
  <rowItems count="17">
    <i>
      <x/>
    </i>
    <i r="1">
      <x/>
    </i>
    <i r="1">
      <x v="1"/>
    </i>
    <i r="1">
      <x v="2"/>
    </i>
    <i>
      <x v="1"/>
    </i>
    <i r="1">
      <x/>
    </i>
    <i r="1">
      <x v="1"/>
    </i>
    <i r="1">
      <x v="2"/>
    </i>
    <i>
      <x v="2"/>
    </i>
    <i r="1">
      <x/>
    </i>
    <i r="1">
      <x v="1"/>
    </i>
    <i r="1">
      <x v="2"/>
    </i>
    <i>
      <x v="3"/>
    </i>
    <i r="1">
      <x/>
    </i>
    <i r="1">
      <x v="1"/>
    </i>
    <i r="1">
      <x v="2"/>
    </i>
    <i t="grand">
      <x/>
    </i>
  </rowItems>
  <colFields count="1">
    <field x="-2"/>
  </colFields>
  <colItems count="7">
    <i>
      <x/>
    </i>
    <i i="1">
      <x v="1"/>
    </i>
    <i i="2">
      <x v="2"/>
    </i>
    <i i="3">
      <x v="3"/>
    </i>
    <i i="4">
      <x v="4"/>
    </i>
    <i i="5">
      <x v="5"/>
    </i>
    <i i="6">
      <x v="6"/>
    </i>
  </colItems>
  <dataFields count="7">
    <dataField name="Sum of Total Sale" fld="7" baseField="0" baseItem="0"/>
    <dataField name="Sum of Profit Margin %" fld="19" baseField="4" baseItem="0" numFmtId="167"/>
    <dataField name="Sum of Average Order Value" fld="20" baseField="4" baseItem="0" numFmtId="169"/>
    <dataField name="Order Count" fld="11" subtotal="count" baseField="4" baseItem="0"/>
    <dataField name="Sum of CompletedFlag" fld="12" baseField="0" baseItem="0"/>
    <dataField name="Sum of Completed Orders" fld="21" baseField="4" baseItem="0"/>
    <dataField name="Sum of Cancellation Rate %" fld="22" baseField="4" baseItem="0" numFmtId="167"/>
  </dataFields>
  <formats count="41">
    <format dxfId="124">
      <pivotArea outline="0" collapsedLevelsAreSubtotals="1" fieldPosition="0"/>
    </format>
    <format dxfId="125">
      <pivotArea outline="0" collapsedLevelsAreSubtotals="1" fieldPosition="0"/>
    </format>
    <format dxfId="126">
      <pivotArea type="all" dataOnly="0" outline="0" fieldPosition="0"/>
    </format>
    <format dxfId="127">
      <pivotArea outline="0" collapsedLevelsAreSubtotals="1" fieldPosition="0"/>
    </format>
    <format dxfId="128">
      <pivotArea field="4" type="button" dataOnly="0" labelOnly="1" outline="0" axis="axisRow" fieldPosition="0"/>
    </format>
    <format dxfId="129">
      <pivotArea dataOnly="0" labelOnly="1" fieldPosition="0">
        <references count="1">
          <reference field="4" count="0"/>
        </references>
      </pivotArea>
    </format>
    <format dxfId="130">
      <pivotArea dataOnly="0" labelOnly="1" grandRow="1" outline="0" fieldPosition="0"/>
    </format>
    <format dxfId="131">
      <pivotArea dataOnly="0" labelOnly="1" outline="0" axis="axisValues" fieldPosition="0"/>
    </format>
    <format dxfId="132">
      <pivotArea outline="0" fieldPosition="0">
        <references count="1">
          <reference field="4294967294" count="1">
            <x v="1"/>
          </reference>
        </references>
      </pivotArea>
    </format>
    <format dxfId="133">
      <pivotArea outline="0" fieldPosition="0">
        <references count="1">
          <reference field="4294967294" count="1">
            <x v="2"/>
          </reference>
        </references>
      </pivotArea>
    </format>
    <format dxfId="134">
      <pivotArea type="all" dataOnly="0" outline="0" fieldPosition="0"/>
    </format>
    <format dxfId="135">
      <pivotArea outline="0" collapsedLevelsAreSubtotals="1" fieldPosition="0"/>
    </format>
    <format dxfId="136">
      <pivotArea field="4" type="button" dataOnly="0" labelOnly="1" outline="0" axis="axisRow" fieldPosition="0"/>
    </format>
    <format dxfId="137">
      <pivotArea dataOnly="0" labelOnly="1" fieldPosition="0">
        <references count="1">
          <reference field="4" count="0"/>
        </references>
      </pivotArea>
    </format>
    <format dxfId="138">
      <pivotArea dataOnly="0" labelOnly="1" grandRow="1" outline="0" fieldPosition="0"/>
    </format>
    <format dxfId="139">
      <pivotArea dataOnly="0" labelOnly="1" fieldPosition="0">
        <references count="2">
          <reference field="4" count="1" selected="0">
            <x v="0"/>
          </reference>
          <reference field="11" count="0"/>
        </references>
      </pivotArea>
    </format>
    <format dxfId="140">
      <pivotArea dataOnly="0" labelOnly="1" fieldPosition="0">
        <references count="2">
          <reference field="4" count="1" selected="0">
            <x v="1"/>
          </reference>
          <reference field="11" count="0"/>
        </references>
      </pivotArea>
    </format>
    <format dxfId="141">
      <pivotArea dataOnly="0" labelOnly="1" fieldPosition="0">
        <references count="2">
          <reference field="4" count="1" selected="0">
            <x v="2"/>
          </reference>
          <reference field="11" count="0"/>
        </references>
      </pivotArea>
    </format>
    <format dxfId="142">
      <pivotArea dataOnly="0" labelOnly="1" fieldPosition="0">
        <references count="2">
          <reference field="4" count="1" selected="0">
            <x v="3"/>
          </reference>
          <reference field="11" count="0"/>
        </references>
      </pivotArea>
    </format>
    <format dxfId="143">
      <pivotArea dataOnly="0" labelOnly="1" outline="0" fieldPosition="0">
        <references count="1">
          <reference field="4294967294" count="4">
            <x v="0"/>
            <x v="1"/>
            <x v="2"/>
            <x v="3"/>
          </reference>
        </references>
      </pivotArea>
    </format>
    <format dxfId="144">
      <pivotArea outline="0" fieldPosition="0">
        <references count="1">
          <reference field="4294967294" count="1">
            <x v="6"/>
          </reference>
        </references>
      </pivotArea>
    </format>
    <format dxfId="145">
      <pivotArea outline="0" collapsedLevelsAreSubtotals="1" fieldPosition="0"/>
    </format>
    <format dxfId="146">
      <pivotArea dataOnly="0" labelOnly="1" fieldPosition="0">
        <references count="1">
          <reference field="4" count="0"/>
        </references>
      </pivotArea>
    </format>
    <format dxfId="147">
      <pivotArea dataOnly="0" labelOnly="1" grandRow="1" outline="0" fieldPosition="0"/>
    </format>
    <format dxfId="148">
      <pivotArea dataOnly="0" labelOnly="1" fieldPosition="0">
        <references count="2">
          <reference field="4" count="1" selected="0">
            <x v="0"/>
          </reference>
          <reference field="11" count="0"/>
        </references>
      </pivotArea>
    </format>
    <format dxfId="149">
      <pivotArea dataOnly="0" labelOnly="1" fieldPosition="0">
        <references count="2">
          <reference field="4" count="1" selected="0">
            <x v="1"/>
          </reference>
          <reference field="11" count="0"/>
        </references>
      </pivotArea>
    </format>
    <format dxfId="150">
      <pivotArea dataOnly="0" labelOnly="1" fieldPosition="0">
        <references count="2">
          <reference field="4" count="1" selected="0">
            <x v="2"/>
          </reference>
          <reference field="11" count="0"/>
        </references>
      </pivotArea>
    </format>
    <format dxfId="151">
      <pivotArea dataOnly="0" labelOnly="1" fieldPosition="0">
        <references count="2">
          <reference field="4" count="1" selected="0">
            <x v="3"/>
          </reference>
          <reference field="11" count="0"/>
        </references>
      </pivotArea>
    </format>
    <format dxfId="152">
      <pivotArea collapsedLevelsAreSubtotals="1" fieldPosition="0">
        <references count="2">
          <reference field="4294967294" count="1" selected="0">
            <x v="3"/>
          </reference>
          <reference field="4" count="1">
            <x v="0"/>
          </reference>
        </references>
      </pivotArea>
    </format>
    <format dxfId="153">
      <pivotArea collapsedLevelsAreSubtotals="1" fieldPosition="0">
        <references count="3">
          <reference field="4294967294" count="1" selected="0">
            <x v="3"/>
          </reference>
          <reference field="4" count="1" selected="0">
            <x v="0"/>
          </reference>
          <reference field="11" count="0"/>
        </references>
      </pivotArea>
    </format>
    <format dxfId="154">
      <pivotArea collapsedLevelsAreSubtotals="1" fieldPosition="0">
        <references count="2">
          <reference field="4294967294" count="1" selected="0">
            <x v="3"/>
          </reference>
          <reference field="4" count="1">
            <x v="1"/>
          </reference>
        </references>
      </pivotArea>
    </format>
    <format dxfId="155">
      <pivotArea collapsedLevelsAreSubtotals="1" fieldPosition="0">
        <references count="3">
          <reference field="4294967294" count="1" selected="0">
            <x v="3"/>
          </reference>
          <reference field="4" count="1" selected="0">
            <x v="1"/>
          </reference>
          <reference field="11" count="0"/>
        </references>
      </pivotArea>
    </format>
    <format dxfId="156">
      <pivotArea collapsedLevelsAreSubtotals="1" fieldPosition="0">
        <references count="2">
          <reference field="4294967294" count="1" selected="0">
            <x v="3"/>
          </reference>
          <reference field="4" count="1">
            <x v="2"/>
          </reference>
        </references>
      </pivotArea>
    </format>
    <format dxfId="157">
      <pivotArea collapsedLevelsAreSubtotals="1" fieldPosition="0">
        <references count="3">
          <reference field="4294967294" count="1" selected="0">
            <x v="3"/>
          </reference>
          <reference field="4" count="1" selected="0">
            <x v="2"/>
          </reference>
          <reference field="11" count="0"/>
        </references>
      </pivotArea>
    </format>
    <format dxfId="158">
      <pivotArea collapsedLevelsAreSubtotals="1" fieldPosition="0">
        <references count="2">
          <reference field="4294967294" count="1" selected="0">
            <x v="3"/>
          </reference>
          <reference field="4" count="1">
            <x v="3"/>
          </reference>
        </references>
      </pivotArea>
    </format>
    <format dxfId="159">
      <pivotArea collapsedLevelsAreSubtotals="1" fieldPosition="0">
        <references count="3">
          <reference field="4294967294" count="1" selected="0">
            <x v="3"/>
          </reference>
          <reference field="4" count="1" selected="0">
            <x v="3"/>
          </reference>
          <reference field="11" count="0"/>
        </references>
      </pivotArea>
    </format>
    <format dxfId="160">
      <pivotArea outline="0" collapsedLevelsAreSubtotals="1" fieldPosition="0">
        <references count="1">
          <reference field="4294967294" count="1" selected="0">
            <x v="4"/>
          </reference>
        </references>
      </pivotArea>
    </format>
    <format dxfId="4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5"/>
          </reference>
        </references>
      </pivotArea>
    </format>
    <format dxfId="3">
      <pivotArea field="4" type="button" dataOnly="0" labelOnly="1" outline="0" axis="axisRow" fieldPosition="0"/>
    </format>
    <format dxfId="1">
      <pivotArea dataOnly="0" labelOnly="1" outline="0" fieldPosition="0">
        <references count="1">
          <reference field="4294967294" count="7">
            <x v="0"/>
            <x v="1"/>
            <x v="2"/>
            <x v="3"/>
            <x v="4"/>
            <x v="5"/>
            <x v="6"/>
          </reference>
        </references>
      </pivotArea>
    </format>
  </formats>
  <chartFormats count="3">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2"/>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BAF98D-70A7-4D12-A00F-FD2BDE69E672}" name="Profit Per Region"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0" firstHeaderRow="1"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showAll="0"/>
    <pivotField showAll="0"/>
    <pivotField axis="axisRow" showAll="0">
      <items count="5">
        <item x="1"/>
        <item x="3"/>
        <item x="2"/>
        <item x="0"/>
        <item t="default"/>
      </items>
    </pivotField>
    <pivotField showAll="0"/>
    <pivotField showAll="0"/>
    <pivotField showAll="0"/>
    <pivotField showAll="0"/>
    <pivotField dataField="1" showAll="0"/>
    <pivotField showAll="0">
      <items count="4">
        <item x="1"/>
        <item x="0"/>
        <item x="2"/>
        <item t="default"/>
      </items>
    </pivotField>
    <pivotField showAll="0"/>
    <pivotField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rofit" fld="9" baseField="0" baseItem="0" numFmtId="164"/>
  </dataFields>
  <formats count="8">
    <format dxfId="350">
      <pivotArea outline="0" collapsedLevelsAreSubtotals="1" fieldPosition="0"/>
    </format>
    <format dxfId="349">
      <pivotArea outline="0" collapsedLevelsAreSubtotals="1" fieldPosition="0"/>
    </format>
    <format dxfId="348">
      <pivotArea type="all" dataOnly="0" outline="0" fieldPosition="0"/>
    </format>
    <format dxfId="347">
      <pivotArea outline="0" collapsedLevelsAreSubtotals="1" fieldPosition="0"/>
    </format>
    <format dxfId="346">
      <pivotArea field="4" type="button" dataOnly="0" labelOnly="1" outline="0" axis="axisRow" fieldPosition="0"/>
    </format>
    <format dxfId="345">
      <pivotArea dataOnly="0" labelOnly="1" fieldPosition="0">
        <references count="1">
          <reference field="4" count="0"/>
        </references>
      </pivotArea>
    </format>
    <format dxfId="344">
      <pivotArea dataOnly="0" labelOnly="1" grandRow="1" outline="0" fieldPosition="0"/>
    </format>
    <format dxfId="343">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AE0C5-B4A2-4580-BF86-B6F0D1684E06}" name="Ranking For Region Managers_x0009_"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5:L10" firstHeaderRow="1"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showAll="0"/>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axis="axisRow" showAll="0" sortType="ascending">
      <items count="5">
        <item x="0"/>
        <item x="2"/>
        <item x="3"/>
        <item x="1"/>
        <item t="default"/>
      </items>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5">
    <i>
      <x/>
    </i>
    <i>
      <x v="1"/>
    </i>
    <i>
      <x v="2"/>
    </i>
    <i>
      <x v="3"/>
    </i>
    <i t="grand">
      <x/>
    </i>
  </rowItems>
  <colItems count="1">
    <i/>
  </colItems>
  <dataFields count="1">
    <dataField name="Sum of Total Sale" fld="7" baseField="0" baseItem="0"/>
  </dataFields>
  <formats count="8">
    <format dxfId="335">
      <pivotArea outline="0" collapsedLevelsAreSubtotals="1" fieldPosition="0"/>
    </format>
    <format dxfId="336">
      <pivotArea outline="0" collapsedLevelsAreSubtotals="1" fieldPosition="0"/>
    </format>
    <format dxfId="337">
      <pivotArea type="all" dataOnly="0" outline="0" fieldPosition="0"/>
    </format>
    <format dxfId="338">
      <pivotArea outline="0" collapsedLevelsAreSubtotals="1" fieldPosition="0"/>
    </format>
    <format dxfId="339">
      <pivotArea field="15" type="button" dataOnly="0" labelOnly="1" outline="0" axis="axisRow" fieldPosition="0"/>
    </format>
    <format dxfId="340">
      <pivotArea dataOnly="0" labelOnly="1" fieldPosition="0">
        <references count="1">
          <reference field="15" count="0"/>
        </references>
      </pivotArea>
    </format>
    <format dxfId="341">
      <pivotArea dataOnly="0" labelOnly="1" grandRow="1" outline="0" fieldPosition="0"/>
    </format>
    <format dxfId="34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9C67D8-4244-4E55-BE31-1B7957BF9813}" name="Sales Per Region_x0009_" cacheId="8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9">
  <location ref="H5:I10" firstHeaderRow="1"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showAll="0"/>
    <pivotField showAll="0"/>
    <pivotField axis="axisRow">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Total Sale" fld="7" baseField="0" baseItem="0"/>
  </dataFields>
  <formats count="8">
    <format dxfId="295">
      <pivotArea outline="0" collapsedLevelsAreSubtotals="1" fieldPosition="0"/>
    </format>
    <format dxfId="296">
      <pivotArea outline="0" collapsedLevelsAreSubtotals="1" fieldPosition="0"/>
    </format>
    <format dxfId="297">
      <pivotArea type="all" dataOnly="0" outline="0" fieldPosition="0"/>
    </format>
    <format dxfId="298">
      <pivotArea outline="0" collapsedLevelsAreSubtotals="1" fieldPosition="0"/>
    </format>
    <format dxfId="299">
      <pivotArea field="4" type="button" dataOnly="0" labelOnly="1" outline="0" axis="axisRow" fieldPosition="0"/>
    </format>
    <format dxfId="300">
      <pivotArea dataOnly="0" labelOnly="1" fieldPosition="0">
        <references count="1">
          <reference field="4" count="0"/>
        </references>
      </pivotArea>
    </format>
    <format dxfId="301">
      <pivotArea dataOnly="0" labelOnly="1" grandRow="1" outline="0" fieldPosition="0"/>
    </format>
    <format dxfId="30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E4190F-16BB-440E-A42E-A4DE6EA5EF34}" name="Order Status"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T5:V9" firstHeaderRow="0"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dataField="1" showAll="0"/>
    <pivotField showAll="0"/>
    <pivotField showAll="0"/>
    <pivotField showAll="0">
      <items count="5">
        <item x="1"/>
        <item x="3"/>
        <item x="2"/>
        <item x="0"/>
        <item t="default"/>
      </items>
    </pivotField>
    <pivotField dataField="1" showAll="0"/>
    <pivotField showAll="0"/>
    <pivotField showAll="0"/>
    <pivotField showAll="0"/>
    <pivotField showAll="0"/>
    <pivotField showAll="0">
      <items count="4">
        <item x="1"/>
        <item x="0"/>
        <item x="2"/>
        <item t="default"/>
      </items>
    </pivotField>
    <pivotField axis="axisRow" showAll="0">
      <items count="4">
        <item x="2"/>
        <item x="0"/>
        <item x="1"/>
        <item t="default"/>
      </items>
    </pivotField>
    <pivotField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Fields count="1">
    <field x="-2"/>
  </colFields>
  <colItems count="2">
    <i>
      <x/>
    </i>
    <i i="1">
      <x v="1"/>
    </i>
  </colItems>
  <dataFields count="2">
    <dataField name="Count of Product Name" fld="1" subtotal="count" baseField="0" baseItem="0"/>
    <dataField name="Sum of Quantity Sold" fld="5" baseField="0" baseItem="0"/>
  </dataFields>
  <formats count="8">
    <format dxfId="327">
      <pivotArea outline="0" collapsedLevelsAreSubtotals="1" fieldPosition="0"/>
    </format>
    <format dxfId="328">
      <pivotArea outline="0" collapsedLevelsAreSubtotals="1" fieldPosition="0"/>
    </format>
    <format dxfId="329">
      <pivotArea type="all" dataOnly="0" outline="0" fieldPosition="0"/>
    </format>
    <format dxfId="330">
      <pivotArea outline="0" collapsedLevelsAreSubtotals="1" fieldPosition="0"/>
    </format>
    <format dxfId="331">
      <pivotArea field="11" type="button" dataOnly="0" labelOnly="1" outline="0" axis="axisRow" fieldPosition="0"/>
    </format>
    <format dxfId="332">
      <pivotArea dataOnly="0" labelOnly="1" fieldPosition="0">
        <references count="1">
          <reference field="11" count="0"/>
        </references>
      </pivotArea>
    </format>
    <format dxfId="333">
      <pivotArea dataOnly="0" labelOnly="1" grandRow="1" outline="0" fieldPosition="0"/>
    </format>
    <format dxfId="334">
      <pivotArea dataOnly="0" labelOnly="1" outline="0" fieldPosition="0">
        <references count="1">
          <reference field="4294967294" count="2">
            <x v="0"/>
            <x v="1"/>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94327C-DF74-475B-B86E-AF134F7E7507}" name="Total Sales Per Catergories"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11" firstHeaderRow="1"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axis="axisRow" showAll="0">
      <items count="6">
        <item x="4"/>
        <item x="1"/>
        <item x="2"/>
        <item x="0"/>
        <item x="3"/>
        <item t="default"/>
      </items>
    </pivotField>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Sum of Total Sale" fld="7" baseField="0" baseItem="0"/>
  </dataFields>
  <formats count="8">
    <format dxfId="303">
      <pivotArea outline="0" collapsedLevelsAreSubtotals="1" fieldPosition="0"/>
    </format>
    <format dxfId="304">
      <pivotArea outline="0" collapsedLevelsAreSubtotals="1" fieldPosition="0"/>
    </format>
    <format dxfId="305">
      <pivotArea type="all" dataOnly="0" outline="0" fieldPosition="0"/>
    </format>
    <format dxfId="306">
      <pivotArea outline="0" collapsedLevelsAreSubtotals="1" fieldPosition="0"/>
    </format>
    <format dxfId="307">
      <pivotArea field="2" type="button" dataOnly="0" labelOnly="1" outline="0" axis="axisRow" fieldPosition="0"/>
    </format>
    <format dxfId="308">
      <pivotArea dataOnly="0" labelOnly="1" fieldPosition="0">
        <references count="1">
          <reference field="2" count="0"/>
        </references>
      </pivotArea>
    </format>
    <format dxfId="309">
      <pivotArea dataOnly="0" labelOnly="1" grandRow="1" outline="0" fieldPosition="0"/>
    </format>
    <format dxfId="310">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92C81F-BCBD-439B-9B13-EE04277700DC}" name="Total Sales By Month" cacheId="8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8">
  <location ref="N5:O18" firstHeaderRow="1"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showAll="0"/>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pivotField showAll="0">
      <items count="4">
        <item x="2"/>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13">
    <i>
      <x v="1"/>
    </i>
    <i>
      <x v="2"/>
    </i>
    <i>
      <x v="3"/>
    </i>
    <i>
      <x v="4"/>
    </i>
    <i>
      <x v="5"/>
    </i>
    <i>
      <x v="6"/>
    </i>
    <i>
      <x v="7"/>
    </i>
    <i>
      <x v="8"/>
    </i>
    <i>
      <x v="9"/>
    </i>
    <i>
      <x v="10"/>
    </i>
    <i>
      <x v="11"/>
    </i>
    <i>
      <x v="12"/>
    </i>
    <i t="grand">
      <x/>
    </i>
  </rowItems>
  <colItems count="1">
    <i/>
  </colItems>
  <dataFields count="1">
    <dataField name="Sum of Total Sale" fld="7" baseField="0" baseItem="0"/>
  </dataFields>
  <formats count="8">
    <format dxfId="311">
      <pivotArea outline="0" collapsedLevelsAreSubtotals="1" fieldPosition="0"/>
    </format>
    <format dxfId="312">
      <pivotArea outline="0" collapsedLevelsAreSubtotals="1" fieldPosition="0"/>
    </format>
    <format dxfId="313">
      <pivotArea type="all" dataOnly="0" outline="0" fieldPosition="0"/>
    </format>
    <format dxfId="314">
      <pivotArea outline="0" collapsedLevelsAreSubtotals="1" fieldPosition="0"/>
    </format>
    <format dxfId="315">
      <pivotArea field="18" type="button" dataOnly="0" labelOnly="1" outline="0" axis="axisRow" fieldPosition="0"/>
    </format>
    <format dxfId="316">
      <pivotArea dataOnly="0" labelOnly="1" fieldPosition="0">
        <references count="1">
          <reference field="18" count="12">
            <x v="1"/>
            <x v="2"/>
            <x v="3"/>
            <x v="4"/>
            <x v="5"/>
            <x v="6"/>
            <x v="7"/>
            <x v="8"/>
            <x v="9"/>
            <x v="10"/>
            <x v="11"/>
            <x v="12"/>
          </reference>
        </references>
      </pivotArea>
    </format>
    <format dxfId="317">
      <pivotArea dataOnly="0" labelOnly="1" grandRow="1" outline="0" fieldPosition="0"/>
    </format>
    <format dxfId="318">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B64E64-0D3A-4154-B209-6FB8F96F788D}" name="Top 4 Sellers"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5:R11" firstHeaderRow="1"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showAll="0"/>
    <pivotField axis="axisRow" showAll="0">
      <items count="6">
        <item x="2"/>
        <item x="1"/>
        <item x="0"/>
        <item x="4"/>
        <item x="3"/>
        <item t="default"/>
      </items>
    </pivotField>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sortType="ascending"/>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Sum of Total Sale" fld="7" baseField="0" baseItem="0"/>
  </dataFields>
  <formats count="8">
    <format dxfId="319">
      <pivotArea outline="0" collapsedLevelsAreSubtotals="1" fieldPosition="0"/>
    </format>
    <format dxfId="320">
      <pivotArea outline="0" collapsedLevelsAreSubtotals="1" fieldPosition="0"/>
    </format>
    <format dxfId="321">
      <pivotArea type="all" dataOnly="0" outline="0" fieldPosition="0"/>
    </format>
    <format dxfId="322">
      <pivotArea outline="0" collapsedLevelsAreSubtotals="1" fieldPosition="0"/>
    </format>
    <format dxfId="323">
      <pivotArea field="3" type="button" dataOnly="0" labelOnly="1" outline="0" axis="axisRow" fieldPosition="0"/>
    </format>
    <format dxfId="324">
      <pivotArea dataOnly="0" labelOnly="1" fieldPosition="0">
        <references count="1">
          <reference field="3" count="0"/>
        </references>
      </pivotArea>
    </format>
    <format dxfId="325">
      <pivotArea dataOnly="0" labelOnly="1" grandRow="1" outline="0" fieldPosition="0"/>
    </format>
    <format dxfId="32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008A4F-1AAB-4BD6-8A04-95EDF78E6EEE}" name="PivotTable4" cacheId="8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9">
  <location ref="C4:J21" firstHeaderRow="0" firstDataRow="1" firstDataCol="1"/>
  <pivotFields count="23">
    <pivotField numFmtId="14" showAll="0">
      <items count="120">
        <item x="61"/>
        <item x="24"/>
        <item x="91"/>
        <item x="100"/>
        <item x="47"/>
        <item x="68"/>
        <item x="81"/>
        <item x="0"/>
        <item x="46"/>
        <item x="11"/>
        <item x="80"/>
        <item x="15"/>
        <item x="55"/>
        <item x="30"/>
        <item x="95"/>
        <item x="48"/>
        <item x="53"/>
        <item x="114"/>
        <item x="56"/>
        <item x="98"/>
        <item x="65"/>
        <item x="115"/>
        <item x="19"/>
        <item x="77"/>
        <item x="86"/>
        <item x="22"/>
        <item x="102"/>
        <item x="10"/>
        <item x="27"/>
        <item x="94"/>
        <item x="29"/>
        <item x="90"/>
        <item x="42"/>
        <item x="62"/>
        <item x="31"/>
        <item x="44"/>
        <item x="45"/>
        <item x="87"/>
        <item x="34"/>
        <item x="58"/>
        <item x="6"/>
        <item x="79"/>
        <item x="38"/>
        <item x="32"/>
        <item x="85"/>
        <item x="106"/>
        <item x="63"/>
        <item x="69"/>
        <item x="14"/>
        <item x="35"/>
        <item x="60"/>
        <item x="105"/>
        <item x="20"/>
        <item x="57"/>
        <item x="110"/>
        <item x="39"/>
        <item x="43"/>
        <item x="96"/>
        <item x="73"/>
        <item x="104"/>
        <item x="36"/>
        <item x="17"/>
        <item x="103"/>
        <item x="88"/>
        <item x="70"/>
        <item x="12"/>
        <item x="66"/>
        <item x="107"/>
        <item x="72"/>
        <item x="64"/>
        <item x="75"/>
        <item x="26"/>
        <item x="74"/>
        <item x="111"/>
        <item x="49"/>
        <item x="4"/>
        <item x="37"/>
        <item x="51"/>
        <item x="41"/>
        <item x="8"/>
        <item x="101"/>
        <item x="40"/>
        <item x="113"/>
        <item x="3"/>
        <item x="84"/>
        <item x="18"/>
        <item x="50"/>
        <item x="54"/>
        <item x="83"/>
        <item x="16"/>
        <item x="52"/>
        <item x="109"/>
        <item x="25"/>
        <item x="71"/>
        <item x="82"/>
        <item x="116"/>
        <item x="67"/>
        <item x="23"/>
        <item x="78"/>
        <item x="59"/>
        <item x="28"/>
        <item x="76"/>
        <item x="33"/>
        <item x="1"/>
        <item x="21"/>
        <item x="108"/>
        <item x="13"/>
        <item x="97"/>
        <item x="9"/>
        <item x="99"/>
        <item x="118"/>
        <item x="93"/>
        <item x="117"/>
        <item x="7"/>
        <item x="2"/>
        <item x="112"/>
        <item x="89"/>
        <item x="5"/>
        <item x="92"/>
        <item t="default"/>
      </items>
    </pivotField>
    <pivotField showAll="0"/>
    <pivotField showAll="0"/>
    <pivotField showAll="0"/>
    <pivotField axis="axisRow">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axis="axisRow" dataField="1" showAll="0">
      <items count="4">
        <item x="2"/>
        <item x="0"/>
        <item x="1"/>
        <item t="default"/>
      </items>
    </pivotField>
    <pivotField dataField="1" showAll="0"/>
    <pivotField showAll="0"/>
    <pivotField showAll="0"/>
    <pivotField showAll="0"/>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4"/>
    <field x="11"/>
  </rowFields>
  <rowItems count="17">
    <i>
      <x/>
    </i>
    <i r="1">
      <x/>
    </i>
    <i r="1">
      <x v="1"/>
    </i>
    <i r="1">
      <x v="2"/>
    </i>
    <i>
      <x v="1"/>
    </i>
    <i r="1">
      <x/>
    </i>
    <i r="1">
      <x v="1"/>
    </i>
    <i r="1">
      <x v="2"/>
    </i>
    <i>
      <x v="2"/>
    </i>
    <i r="1">
      <x/>
    </i>
    <i r="1">
      <x v="1"/>
    </i>
    <i r="1">
      <x v="2"/>
    </i>
    <i>
      <x v="3"/>
    </i>
    <i r="1">
      <x/>
    </i>
    <i r="1">
      <x v="1"/>
    </i>
    <i r="1">
      <x v="2"/>
    </i>
    <i t="grand">
      <x/>
    </i>
  </rowItems>
  <colFields count="1">
    <field x="-2"/>
  </colFields>
  <colItems count="7">
    <i>
      <x/>
    </i>
    <i i="1">
      <x v="1"/>
    </i>
    <i i="2">
      <x v="2"/>
    </i>
    <i i="3">
      <x v="3"/>
    </i>
    <i i="4">
      <x v="4"/>
    </i>
    <i i="5">
      <x v="5"/>
    </i>
    <i i="6">
      <x v="6"/>
    </i>
  </colItems>
  <dataFields count="7">
    <dataField name="Sum of Total Sale" fld="7" baseField="0" baseItem="0"/>
    <dataField name="Sum of Profit Margin %" fld="19" baseField="4" baseItem="0" numFmtId="167"/>
    <dataField name="Sum of Average Order Value" fld="20" baseField="4" baseItem="0" numFmtId="169"/>
    <dataField name="Order Count" fld="11" subtotal="count" baseField="4" baseItem="0"/>
    <dataField name="Sum of CompletedFlag" fld="12" baseField="0" baseItem="0"/>
    <dataField name="Sum of Completed Orders %" fld="21" baseField="0" baseItem="0"/>
    <dataField name="Sum of Cancellation Rate %" fld="22" baseField="4" baseItem="0" numFmtId="167"/>
  </dataFields>
  <formats count="23">
    <format dxfId="269">
      <pivotArea outline="0" collapsedLevelsAreSubtotals="1" fieldPosition="0"/>
    </format>
    <format dxfId="270">
      <pivotArea outline="0" collapsedLevelsAreSubtotals="1" fieldPosition="0"/>
    </format>
    <format dxfId="271">
      <pivotArea type="all" dataOnly="0" outline="0" fieldPosition="0"/>
    </format>
    <format dxfId="272">
      <pivotArea outline="0" collapsedLevelsAreSubtotals="1" fieldPosition="0"/>
    </format>
    <format dxfId="273">
      <pivotArea field="4" type="button" dataOnly="0" labelOnly="1" outline="0" axis="axisRow" fieldPosition="0"/>
    </format>
    <format dxfId="274">
      <pivotArea dataOnly="0" labelOnly="1" fieldPosition="0">
        <references count="1">
          <reference field="4" count="0"/>
        </references>
      </pivotArea>
    </format>
    <format dxfId="275">
      <pivotArea dataOnly="0" labelOnly="1" grandRow="1" outline="0" fieldPosition="0"/>
    </format>
    <format dxfId="276">
      <pivotArea dataOnly="0" labelOnly="1" outline="0" axis="axisValues" fieldPosition="0"/>
    </format>
    <format dxfId="277">
      <pivotArea outline="0" fieldPosition="0">
        <references count="1">
          <reference field="4294967294" count="1">
            <x v="1"/>
          </reference>
        </references>
      </pivotArea>
    </format>
    <format dxfId="278">
      <pivotArea outline="0" fieldPosition="0">
        <references count="1">
          <reference field="4294967294" count="1">
            <x v="2"/>
          </reference>
        </references>
      </pivotArea>
    </format>
    <format dxfId="279">
      <pivotArea type="all" dataOnly="0" outline="0" fieldPosition="0"/>
    </format>
    <format dxfId="280">
      <pivotArea outline="0" collapsedLevelsAreSubtotals="1" fieldPosition="0"/>
    </format>
    <format dxfId="281">
      <pivotArea field="4" type="button" dataOnly="0" labelOnly="1" outline="0" axis="axisRow" fieldPosition="0"/>
    </format>
    <format dxfId="282">
      <pivotArea dataOnly="0" labelOnly="1" fieldPosition="0">
        <references count="1">
          <reference field="4" count="0"/>
        </references>
      </pivotArea>
    </format>
    <format dxfId="283">
      <pivotArea dataOnly="0" labelOnly="1" grandRow="1" outline="0" fieldPosition="0"/>
    </format>
    <format dxfId="284">
      <pivotArea dataOnly="0" labelOnly="1" fieldPosition="0">
        <references count="2">
          <reference field="4" count="1" selected="0">
            <x v="0"/>
          </reference>
          <reference field="11" count="0"/>
        </references>
      </pivotArea>
    </format>
    <format dxfId="285">
      <pivotArea dataOnly="0" labelOnly="1" fieldPosition="0">
        <references count="2">
          <reference field="4" count="1" selected="0">
            <x v="1"/>
          </reference>
          <reference field="11" count="0"/>
        </references>
      </pivotArea>
    </format>
    <format dxfId="286">
      <pivotArea dataOnly="0" labelOnly="1" fieldPosition="0">
        <references count="2">
          <reference field="4" count="1" selected="0">
            <x v="2"/>
          </reference>
          <reference field="11" count="0"/>
        </references>
      </pivotArea>
    </format>
    <format dxfId="287">
      <pivotArea dataOnly="0" labelOnly="1" fieldPosition="0">
        <references count="2">
          <reference field="4" count="1" selected="0">
            <x v="3"/>
          </reference>
          <reference field="11" count="0"/>
        </references>
      </pivotArea>
    </format>
    <format dxfId="288">
      <pivotArea dataOnly="0" labelOnly="1" outline="0" fieldPosition="0">
        <references count="1">
          <reference field="4294967294" count="4">
            <x v="0"/>
            <x v="1"/>
            <x v="2"/>
            <x v="3"/>
          </reference>
        </references>
      </pivotArea>
    </format>
    <format dxfId="289">
      <pivotArea field="4" type="button" dataOnly="0" labelOnly="1" outline="0" axis="axisRow" fieldPosition="0"/>
    </format>
    <format dxfId="290">
      <pivotArea dataOnly="0" labelOnly="1" outline="0" fieldPosition="0">
        <references count="1">
          <reference field="4294967294" count="7">
            <x v="0"/>
            <x v="1"/>
            <x v="2"/>
            <x v="3"/>
            <x v="4"/>
            <x v="5"/>
            <x v="6"/>
          </reference>
        </references>
      </pivotArea>
    </format>
    <format dxfId="291">
      <pivotArea outline="0" fieldPosition="0">
        <references count="1">
          <reference field="4294967294" count="1">
            <x v="6"/>
          </reference>
        </references>
      </pivotArea>
    </format>
  </formats>
  <chartFormats count="3">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2"/>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4EF2C05-EECC-4092-81CD-AB8617B8204D}" sourceName="Payment Method">
  <pivotTables>
    <pivotTable tabId="3" name="Profit Per Region"/>
    <pivotTable tabId="3" name="Order Status"/>
    <pivotTable tabId="3" name="Ranking For Region Managers_x0009_"/>
    <pivotTable tabId="3" name="Sales Per Region_x0009_"/>
    <pivotTable tabId="3" name="Top 4 Sellers"/>
    <pivotTable tabId="3" name="Total Sales By Month"/>
    <pivotTable tabId="3" name="Total Sales Per Catergories"/>
    <pivotTable tabId="3" name="Diagnostic"/>
    <pivotTable tabId="8" name="PivotTable4"/>
  </pivotTables>
  <data>
    <tabular pivotCacheId="25733339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6A845C6-9ABD-4620-9993-9851110599AE}" sourceName="Customer Type">
  <pivotTables>
    <pivotTable tabId="3" name="Profit Per Region"/>
    <pivotTable tabId="3" name="Order Status"/>
    <pivotTable tabId="3" name="Ranking For Region Managers_x0009_"/>
    <pivotTable tabId="3" name="Sales Per Region_x0009_"/>
    <pivotTable tabId="3" name="Top 4 Sellers"/>
    <pivotTable tabId="3" name="Total Sales By Month"/>
    <pivotTable tabId="3" name="Total Sales Per Catergories"/>
    <pivotTable tabId="3" name="Diagnostic"/>
    <pivotTable tabId="8" name="PivotTable4"/>
  </pivotTables>
  <data>
    <tabular pivotCacheId="25733339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2D09D5-069A-437C-BDD0-5FA3F6095683}" sourceName="Region">
  <pivotTables>
    <pivotTable tabId="3" name="Ranking For Region Managers_x0009_"/>
    <pivotTable tabId="3" name="Order Status"/>
    <pivotTable tabId="3" name="Top 4 Sellers"/>
    <pivotTable tabId="3" name="Total Sales By Month"/>
    <pivotTable tabId="3" name="Total Sales Per Catergories"/>
    <pivotTable tabId="3" name="Sales Per Region_x0009_"/>
  </pivotTables>
  <data>
    <tabular pivotCacheId="257333397">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4E239D68-9F93-4A16-A5D7-097CB3189DE5}" cache="Slicer_Payment_Method" style="Slicer Style 2" rowHeight="257175"/>
  <slicer name="Customer Type" xr10:uid="{462DF4AF-79FF-42F7-959E-984BFE59E4D8}" cache="Slicer_Customer_Type" style="Slicer Style 2" rowHeight="257175"/>
  <slicer name="Region 1" xr10:uid="{A6EA08E3-D7A2-483E-8AE5-71D0956B8B5B}" cache="Slicer_Region"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F1EF7-C2E6-41BC-A56F-685E15152FD5}" name="Table1" displayName="Table1" ref="A3:Q153" totalsRowShown="0" headerRowDxfId="366" dataDxfId="365">
  <tableColumns count="17">
    <tableColumn id="1" xr3:uid="{99942BD4-7364-4332-A1BC-49A952D46B7E}" name="Date" dataDxfId="364"/>
    <tableColumn id="2" xr3:uid="{CFFEBAE4-AF21-4BA9-A06F-C8F913485F38}" name="Product Name" dataDxfId="363"/>
    <tableColumn id="3" xr3:uid="{A1EBDF4F-CF5C-4FBF-B9FF-2C98B12DB7F7}" name="Category" dataDxfId="362"/>
    <tableColumn id="4" xr3:uid="{2F20D7C0-DBD3-4FAA-8D0C-738ADFAB7854}" name="Sales Representative" dataDxfId="361"/>
    <tableColumn id="5" xr3:uid="{34AEE0DD-468A-4C4D-9F3D-C2DA12244610}" name="Region" dataDxfId="360"/>
    <tableColumn id="6" xr3:uid="{BF5FC9D1-9F9A-4D0B-9628-EAC0C79483D3}" name="Quantity Sold" dataDxfId="359"/>
    <tableColumn id="7" xr3:uid="{46E13AD7-B583-457B-AF93-A9DB1BC36E2F}" name="Unit Price" dataDxfId="358"/>
    <tableColumn id="8" xr3:uid="{50A93689-037E-4C11-B330-D1BE81008B18}" name="Total Sale" dataDxfId="357"/>
    <tableColumn id="9" xr3:uid="{23530E72-0A77-4917-9C52-C1E1CF827FD0}" name="Cost Price" dataDxfId="356"/>
    <tableColumn id="10" xr3:uid="{3A50ACCF-2E57-4817-9B7A-F2F716096DB6}" name="Profit" dataDxfId="355"/>
    <tableColumn id="11" xr3:uid="{2BAE1E96-6210-4E54-B107-0001EBD9FF79}" name="Payment Method" dataDxfId="354"/>
    <tableColumn id="12" xr3:uid="{D269DF80-E7EF-4355-BE4A-393BB4CA806F}" name="Order Status" dataDxfId="353"/>
    <tableColumn id="15" xr3:uid="{3056028B-04A7-4625-998C-B376B704EE17}" name="CompletedFlag" dataDxfId="294">
      <calculatedColumnFormula>IF(L4="Completed",1,0)</calculatedColumnFormula>
    </tableColumn>
    <tableColumn id="17" xr3:uid="{286D107C-C689-40D5-8958-42A87316F9B9}" name="PendingFlag" dataDxfId="292">
      <calculatedColumnFormula>IF(L4="Pending",1,0)</calculatedColumnFormula>
    </tableColumn>
    <tableColumn id="16" xr3:uid="{C7B144F2-3204-4E64-9680-530B9E8389EE}" name="CancelledFlag" dataDxfId="293">
      <calculatedColumnFormula>IF(L4="Cancelled",1,0)</calculatedColumnFormula>
    </tableColumn>
    <tableColumn id="13" xr3:uid="{4A494894-A8EC-41B9-BDE0-50FA74DC2EE1}" name="Region Manager" dataDxfId="352"/>
    <tableColumn id="14" xr3:uid="{654A125A-6F0E-415E-BB82-2B46AE6B9A0C}" name="Customer Type" dataDxfId="35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D09C-3CF3-4A36-BEA5-2C4386EDF7D1}">
  <sheetPr>
    <tabColor theme="0"/>
  </sheetPr>
  <dimension ref="A3:T153"/>
  <sheetViews>
    <sheetView showGridLines="0" tabSelected="1" zoomScale="84" zoomScaleNormal="84" workbookViewId="0">
      <selection activeCell="A2" sqref="A2"/>
    </sheetView>
  </sheetViews>
  <sheetFormatPr defaultRowHeight="15"/>
  <cols>
    <col min="1" max="1" width="13.28515625" style="3" bestFit="1" customWidth="1"/>
    <col min="2" max="2" width="17.42578125" style="3" customWidth="1"/>
    <col min="3" max="3" width="13.5703125" style="3" bestFit="1" customWidth="1"/>
    <col min="4" max="4" width="25" style="3" customWidth="1"/>
    <col min="5" max="5" width="10.42578125" style="3" customWidth="1"/>
    <col min="6" max="6" width="16.7109375" style="3" customWidth="1"/>
    <col min="7" max="7" width="13.140625" style="3" customWidth="1"/>
    <col min="8" max="8" width="13.28515625" style="3" customWidth="1"/>
    <col min="9" max="9" width="13.7109375" style="3" customWidth="1"/>
    <col min="10" max="10" width="8.7109375" style="3" customWidth="1"/>
    <col min="11" max="11" width="20" style="3" customWidth="1"/>
    <col min="12" max="15" width="16.140625" style="3" customWidth="1"/>
    <col min="16" max="16" width="19.85546875" style="3" customWidth="1"/>
    <col min="17" max="17" width="18.5703125" style="3" customWidth="1"/>
    <col min="18" max="18" width="9.140625" style="3"/>
    <col min="19" max="19" width="28.7109375" style="3" customWidth="1"/>
    <col min="20" max="16384" width="9.140625" style="3"/>
  </cols>
  <sheetData>
    <row r="3" spans="1:20" ht="24.75" customHeight="1">
      <c r="A3" s="5" t="s">
        <v>0</v>
      </c>
      <c r="B3" s="5" t="s">
        <v>1</v>
      </c>
      <c r="C3" s="5" t="s">
        <v>2</v>
      </c>
      <c r="D3" s="5" t="s">
        <v>3</v>
      </c>
      <c r="E3" s="5" t="s">
        <v>4</v>
      </c>
      <c r="F3" s="5" t="s">
        <v>5</v>
      </c>
      <c r="G3" s="5" t="s">
        <v>6</v>
      </c>
      <c r="H3" s="5" t="s">
        <v>7</v>
      </c>
      <c r="I3" s="5" t="s">
        <v>8</v>
      </c>
      <c r="J3" s="5" t="s">
        <v>9</v>
      </c>
      <c r="K3" s="5" t="s">
        <v>10</v>
      </c>
      <c r="L3" s="5" t="s">
        <v>11</v>
      </c>
      <c r="M3" s="5" t="s">
        <v>90</v>
      </c>
      <c r="N3" s="5" t="s">
        <v>94</v>
      </c>
      <c r="O3" s="5" t="s">
        <v>93</v>
      </c>
      <c r="P3" s="5" t="s">
        <v>12</v>
      </c>
      <c r="Q3" s="5" t="s">
        <v>13</v>
      </c>
    </row>
    <row r="4" spans="1:20">
      <c r="A4" s="1">
        <v>45313</v>
      </c>
      <c r="B4" s="2" t="s">
        <v>14</v>
      </c>
      <c r="C4" s="2" t="s">
        <v>15</v>
      </c>
      <c r="D4" s="2" t="s">
        <v>16</v>
      </c>
      <c r="E4" s="2" t="s">
        <v>17</v>
      </c>
      <c r="F4" s="2">
        <v>1</v>
      </c>
      <c r="G4" s="2">
        <v>91.81</v>
      </c>
      <c r="H4" s="2">
        <v>91.81</v>
      </c>
      <c r="I4" s="2">
        <v>51.81</v>
      </c>
      <c r="J4" s="2">
        <v>40</v>
      </c>
      <c r="K4" s="2" t="s">
        <v>18</v>
      </c>
      <c r="L4" s="2" t="s">
        <v>19</v>
      </c>
      <c r="M4" s="2">
        <f t="shared" ref="M4:M35" si="0">IF(L4="Completed",1,0)</f>
        <v>1</v>
      </c>
      <c r="N4" s="2">
        <f t="shared" ref="N4:N35" si="1">IF(L4="Pending",1,0)</f>
        <v>0</v>
      </c>
      <c r="O4" s="2">
        <f t="shared" ref="O4:O35" si="2">IF(L4="Cancelled",1,0)</f>
        <v>0</v>
      </c>
      <c r="P4" s="2" t="s">
        <v>20</v>
      </c>
      <c r="Q4" s="2" t="s">
        <v>21</v>
      </c>
      <c r="S4" s="3" t="s">
        <v>85</v>
      </c>
    </row>
    <row r="5" spans="1:20">
      <c r="A5" s="1">
        <v>45571</v>
      </c>
      <c r="B5" s="2" t="s">
        <v>22</v>
      </c>
      <c r="C5" s="2" t="s">
        <v>15</v>
      </c>
      <c r="D5" s="2" t="s">
        <v>23</v>
      </c>
      <c r="E5" s="2" t="s">
        <v>24</v>
      </c>
      <c r="F5" s="2">
        <v>9</v>
      </c>
      <c r="G5" s="2">
        <v>462.17</v>
      </c>
      <c r="H5" s="2">
        <v>4159.53</v>
      </c>
      <c r="I5" s="2">
        <v>4099.53</v>
      </c>
      <c r="J5" s="2">
        <v>60</v>
      </c>
      <c r="K5" s="2" t="s">
        <v>25</v>
      </c>
      <c r="L5" s="2" t="s">
        <v>26</v>
      </c>
      <c r="M5" s="2">
        <f t="shared" si="0"/>
        <v>0</v>
      </c>
      <c r="N5" s="2">
        <f t="shared" si="1"/>
        <v>1</v>
      </c>
      <c r="O5" s="2">
        <f t="shared" si="2"/>
        <v>0</v>
      </c>
      <c r="P5" s="2" t="s">
        <v>27</v>
      </c>
      <c r="Q5" s="2" t="s">
        <v>28</v>
      </c>
      <c r="S5" s="17" t="str" cm="1">
        <f t="array" ref="S5:S7">_xlfn.UNIQUE(Table1[Customer Type])</f>
        <v>Regular</v>
      </c>
    </row>
    <row r="6" spans="1:20">
      <c r="A6" s="1">
        <v>45615</v>
      </c>
      <c r="B6" s="2" t="s">
        <v>29</v>
      </c>
      <c r="C6" s="2" t="s">
        <v>30</v>
      </c>
      <c r="D6" s="2" t="s">
        <v>23</v>
      </c>
      <c r="E6" s="2" t="s">
        <v>31</v>
      </c>
      <c r="F6" s="2">
        <v>7</v>
      </c>
      <c r="G6" s="2">
        <v>198.67</v>
      </c>
      <c r="H6" s="2">
        <v>1390.69</v>
      </c>
      <c r="I6" s="2">
        <v>1325.19</v>
      </c>
      <c r="J6" s="2">
        <v>65.5</v>
      </c>
      <c r="K6" s="2" t="s">
        <v>32</v>
      </c>
      <c r="L6" s="2" t="s">
        <v>33</v>
      </c>
      <c r="M6" s="2">
        <f t="shared" si="0"/>
        <v>0</v>
      </c>
      <c r="N6" s="2">
        <f t="shared" si="1"/>
        <v>0</v>
      </c>
      <c r="O6" s="2">
        <f t="shared" si="2"/>
        <v>1</v>
      </c>
      <c r="P6" s="2" t="s">
        <v>34</v>
      </c>
      <c r="Q6" s="2" t="s">
        <v>35</v>
      </c>
      <c r="S6" s="17" t="str">
        <v>VIP</v>
      </c>
    </row>
    <row r="7" spans="1:20">
      <c r="A7" s="1">
        <v>45530</v>
      </c>
      <c r="B7" s="2" t="s">
        <v>36</v>
      </c>
      <c r="C7" s="2" t="s">
        <v>15</v>
      </c>
      <c r="D7" s="2" t="s">
        <v>23</v>
      </c>
      <c r="E7" s="2" t="s">
        <v>31</v>
      </c>
      <c r="F7" s="2">
        <v>6</v>
      </c>
      <c r="G7" s="2">
        <v>125.67</v>
      </c>
      <c r="H7" s="2">
        <v>754.02</v>
      </c>
      <c r="I7" s="2">
        <v>705.02</v>
      </c>
      <c r="J7" s="2">
        <v>49</v>
      </c>
      <c r="K7" s="2" t="s">
        <v>18</v>
      </c>
      <c r="L7" s="2" t="s">
        <v>19</v>
      </c>
      <c r="M7" s="2">
        <f t="shared" si="0"/>
        <v>1</v>
      </c>
      <c r="N7" s="2">
        <f t="shared" si="1"/>
        <v>0</v>
      </c>
      <c r="O7" s="2">
        <f t="shared" si="2"/>
        <v>0</v>
      </c>
      <c r="P7" s="2" t="s">
        <v>37</v>
      </c>
      <c r="Q7" s="2" t="s">
        <v>21</v>
      </c>
      <c r="S7" s="17" t="str">
        <v>New</v>
      </c>
      <c r="T7" s="4"/>
    </row>
    <row r="8" spans="1:20">
      <c r="A8" s="1">
        <v>45502</v>
      </c>
      <c r="B8" s="2" t="s">
        <v>38</v>
      </c>
      <c r="C8" s="2" t="s">
        <v>15</v>
      </c>
      <c r="D8" s="2" t="s">
        <v>23</v>
      </c>
      <c r="E8" s="2" t="s">
        <v>24</v>
      </c>
      <c r="F8" s="2">
        <v>5</v>
      </c>
      <c r="G8" s="2">
        <v>244.72</v>
      </c>
      <c r="H8" s="2">
        <v>1223.5999999999999</v>
      </c>
      <c r="I8" s="2">
        <v>1183.5999999999999</v>
      </c>
      <c r="J8" s="2">
        <v>40</v>
      </c>
      <c r="K8" s="2" t="s">
        <v>25</v>
      </c>
      <c r="L8" s="2" t="s">
        <v>26</v>
      </c>
      <c r="M8" s="2">
        <f t="shared" si="0"/>
        <v>0</v>
      </c>
      <c r="N8" s="2">
        <f t="shared" si="1"/>
        <v>1</v>
      </c>
      <c r="O8" s="2">
        <f t="shared" si="2"/>
        <v>0</v>
      </c>
      <c r="P8" s="2" t="s">
        <v>20</v>
      </c>
      <c r="Q8" s="2" t="s">
        <v>28</v>
      </c>
    </row>
    <row r="9" spans="1:20">
      <c r="A9" s="1">
        <v>45633</v>
      </c>
      <c r="B9" s="2" t="s">
        <v>39</v>
      </c>
      <c r="C9" s="2" t="s">
        <v>40</v>
      </c>
      <c r="D9" s="2" t="s">
        <v>23</v>
      </c>
      <c r="E9" s="2" t="s">
        <v>24</v>
      </c>
      <c r="F9" s="2">
        <v>3</v>
      </c>
      <c r="G9" s="2">
        <v>117.66</v>
      </c>
      <c r="H9" s="2">
        <v>352.98</v>
      </c>
      <c r="I9" s="2">
        <v>292.98</v>
      </c>
      <c r="J9" s="2">
        <v>60</v>
      </c>
      <c r="K9" s="2" t="s">
        <v>32</v>
      </c>
      <c r="L9" s="2" t="s">
        <v>19</v>
      </c>
      <c r="M9" s="2">
        <f t="shared" si="0"/>
        <v>1</v>
      </c>
      <c r="N9" s="2">
        <f t="shared" si="1"/>
        <v>0</v>
      </c>
      <c r="O9" s="2">
        <f t="shared" si="2"/>
        <v>0</v>
      </c>
      <c r="P9" s="2" t="s">
        <v>27</v>
      </c>
      <c r="Q9" s="2" t="s">
        <v>35</v>
      </c>
    </row>
    <row r="10" spans="1:20">
      <c r="A10" s="1">
        <v>45402</v>
      </c>
      <c r="B10" s="2" t="s">
        <v>41</v>
      </c>
      <c r="C10" s="2" t="s">
        <v>30</v>
      </c>
      <c r="D10" s="2" t="s">
        <v>42</v>
      </c>
      <c r="E10" s="2" t="s">
        <v>31</v>
      </c>
      <c r="F10" s="2">
        <v>5</v>
      </c>
      <c r="G10" s="2">
        <v>249.15</v>
      </c>
      <c r="H10" s="2">
        <v>1245.75</v>
      </c>
      <c r="I10" s="2">
        <v>1180.25</v>
      </c>
      <c r="J10" s="2">
        <v>65.5</v>
      </c>
      <c r="K10" s="2" t="s">
        <v>18</v>
      </c>
      <c r="L10" s="2" t="s">
        <v>33</v>
      </c>
      <c r="M10" s="2">
        <f t="shared" si="0"/>
        <v>0</v>
      </c>
      <c r="N10" s="2">
        <f t="shared" si="1"/>
        <v>0</v>
      </c>
      <c r="O10" s="2">
        <f t="shared" si="2"/>
        <v>1</v>
      </c>
      <c r="P10" s="2" t="s">
        <v>34</v>
      </c>
      <c r="Q10" s="2" t="s">
        <v>21</v>
      </c>
    </row>
    <row r="11" spans="1:20">
      <c r="A11" s="1">
        <v>45614</v>
      </c>
      <c r="B11" s="2" t="s">
        <v>43</v>
      </c>
      <c r="C11" s="2" t="s">
        <v>44</v>
      </c>
      <c r="D11" s="2" t="s">
        <v>23</v>
      </c>
      <c r="E11" s="2" t="s">
        <v>24</v>
      </c>
      <c r="F11" s="2">
        <v>5</v>
      </c>
      <c r="G11" s="2">
        <v>337.68</v>
      </c>
      <c r="H11" s="2">
        <v>1688.4</v>
      </c>
      <c r="I11" s="2">
        <v>1639.4</v>
      </c>
      <c r="J11" s="2">
        <v>49</v>
      </c>
      <c r="K11" s="2" t="s">
        <v>25</v>
      </c>
      <c r="L11" s="2" t="s">
        <v>19</v>
      </c>
      <c r="M11" s="2">
        <f t="shared" si="0"/>
        <v>1</v>
      </c>
      <c r="N11" s="2">
        <f t="shared" si="1"/>
        <v>0</v>
      </c>
      <c r="O11" s="2">
        <f t="shared" si="2"/>
        <v>0</v>
      </c>
      <c r="P11" s="2" t="s">
        <v>37</v>
      </c>
      <c r="Q11" s="2" t="s">
        <v>28</v>
      </c>
    </row>
    <row r="12" spans="1:20">
      <c r="A12" s="1">
        <v>45513</v>
      </c>
      <c r="B12" s="2" t="s">
        <v>45</v>
      </c>
      <c r="C12" s="2" t="s">
        <v>44</v>
      </c>
      <c r="D12" s="2" t="s">
        <v>42</v>
      </c>
      <c r="E12" s="2" t="s">
        <v>46</v>
      </c>
      <c r="F12" s="2">
        <v>5</v>
      </c>
      <c r="G12" s="2">
        <v>491.3</v>
      </c>
      <c r="H12" s="2">
        <v>2456.5</v>
      </c>
      <c r="I12" s="2">
        <v>2416.5</v>
      </c>
      <c r="J12" s="2">
        <v>40</v>
      </c>
      <c r="K12" s="2" t="s">
        <v>32</v>
      </c>
      <c r="L12" s="2" t="s">
        <v>26</v>
      </c>
      <c r="M12" s="2">
        <f t="shared" si="0"/>
        <v>0</v>
      </c>
      <c r="N12" s="2">
        <f t="shared" si="1"/>
        <v>1</v>
      </c>
      <c r="O12" s="2">
        <f t="shared" si="2"/>
        <v>0</v>
      </c>
      <c r="P12" s="2" t="s">
        <v>20</v>
      </c>
      <c r="Q12" s="2" t="s">
        <v>35</v>
      </c>
    </row>
    <row r="13" spans="1:20">
      <c r="A13" s="1">
        <v>45597</v>
      </c>
      <c r="B13" s="2" t="s">
        <v>36</v>
      </c>
      <c r="C13" s="2" t="s">
        <v>15</v>
      </c>
      <c r="D13" s="2" t="s">
        <v>23</v>
      </c>
      <c r="E13" s="2" t="s">
        <v>31</v>
      </c>
      <c r="F13" s="2">
        <v>4</v>
      </c>
      <c r="G13" s="2">
        <v>394.42</v>
      </c>
      <c r="H13" s="2">
        <v>1577.68</v>
      </c>
      <c r="I13" s="2">
        <v>1517.68</v>
      </c>
      <c r="J13" s="2">
        <v>60</v>
      </c>
      <c r="K13" s="2" t="s">
        <v>18</v>
      </c>
      <c r="L13" s="2" t="s">
        <v>19</v>
      </c>
      <c r="M13" s="2">
        <f t="shared" si="0"/>
        <v>1</v>
      </c>
      <c r="N13" s="2">
        <f t="shared" si="1"/>
        <v>0</v>
      </c>
      <c r="O13" s="2">
        <f t="shared" si="2"/>
        <v>0</v>
      </c>
      <c r="P13" s="2" t="s">
        <v>27</v>
      </c>
      <c r="Q13" s="2" t="s">
        <v>21</v>
      </c>
    </row>
    <row r="14" spans="1:20">
      <c r="A14" s="1">
        <v>45369</v>
      </c>
      <c r="B14" s="2" t="s">
        <v>47</v>
      </c>
      <c r="C14" s="2" t="s">
        <v>44</v>
      </c>
      <c r="D14" s="2" t="s">
        <v>16</v>
      </c>
      <c r="E14" s="2" t="s">
        <v>46</v>
      </c>
      <c r="F14" s="2">
        <v>2</v>
      </c>
      <c r="G14" s="2">
        <v>216.4</v>
      </c>
      <c r="H14" s="2">
        <v>432.8</v>
      </c>
      <c r="I14" s="2">
        <v>367.3</v>
      </c>
      <c r="J14" s="2">
        <v>65.5</v>
      </c>
      <c r="K14" s="2" t="s">
        <v>25</v>
      </c>
      <c r="L14" s="2" t="s">
        <v>26</v>
      </c>
      <c r="M14" s="2">
        <f t="shared" si="0"/>
        <v>0</v>
      </c>
      <c r="N14" s="2">
        <f t="shared" si="1"/>
        <v>1</v>
      </c>
      <c r="O14" s="2">
        <f t="shared" si="2"/>
        <v>0</v>
      </c>
      <c r="P14" s="2" t="s">
        <v>34</v>
      </c>
      <c r="Q14" s="2" t="s">
        <v>28</v>
      </c>
    </row>
    <row r="15" spans="1:20">
      <c r="A15" s="1">
        <v>45318</v>
      </c>
      <c r="B15" s="2" t="s">
        <v>43</v>
      </c>
      <c r="C15" s="2" t="s">
        <v>44</v>
      </c>
      <c r="D15" s="2" t="s">
        <v>48</v>
      </c>
      <c r="E15" s="2" t="s">
        <v>31</v>
      </c>
      <c r="F15" s="2">
        <v>6</v>
      </c>
      <c r="G15" s="2">
        <v>457.22</v>
      </c>
      <c r="H15" s="2">
        <v>2743.32</v>
      </c>
      <c r="I15" s="2">
        <v>2694.32</v>
      </c>
      <c r="J15" s="2">
        <v>49</v>
      </c>
      <c r="K15" s="2" t="s">
        <v>32</v>
      </c>
      <c r="L15" s="2" t="s">
        <v>33</v>
      </c>
      <c r="M15" s="2">
        <f t="shared" si="0"/>
        <v>0</v>
      </c>
      <c r="N15" s="2">
        <f t="shared" si="1"/>
        <v>0</v>
      </c>
      <c r="O15" s="2">
        <f t="shared" si="2"/>
        <v>1</v>
      </c>
      <c r="P15" s="2" t="s">
        <v>37</v>
      </c>
      <c r="Q15" s="2" t="s">
        <v>35</v>
      </c>
    </row>
    <row r="16" spans="1:20">
      <c r="A16" s="1">
        <v>45471</v>
      </c>
      <c r="B16" s="2" t="s">
        <v>14</v>
      </c>
      <c r="C16" s="2" t="s">
        <v>15</v>
      </c>
      <c r="D16" s="2" t="s">
        <v>42</v>
      </c>
      <c r="E16" s="2" t="s">
        <v>24</v>
      </c>
      <c r="F16" s="2">
        <v>8</v>
      </c>
      <c r="G16" s="2">
        <v>438.33</v>
      </c>
      <c r="H16" s="2">
        <v>3506.64</v>
      </c>
      <c r="I16" s="2">
        <v>3466.64</v>
      </c>
      <c r="J16" s="2">
        <v>40</v>
      </c>
      <c r="K16" s="2" t="s">
        <v>18</v>
      </c>
      <c r="L16" s="2" t="s">
        <v>19</v>
      </c>
      <c r="M16" s="2">
        <f t="shared" si="0"/>
        <v>1</v>
      </c>
      <c r="N16" s="2">
        <f t="shared" si="1"/>
        <v>0</v>
      </c>
      <c r="O16" s="2">
        <f t="shared" si="2"/>
        <v>0</v>
      </c>
      <c r="P16" s="2" t="s">
        <v>20</v>
      </c>
      <c r="Q16" s="2" t="s">
        <v>21</v>
      </c>
    </row>
    <row r="17" spans="1:17">
      <c r="A17" s="1">
        <v>45587</v>
      </c>
      <c r="B17" s="2" t="s">
        <v>36</v>
      </c>
      <c r="C17" s="2" t="s">
        <v>15</v>
      </c>
      <c r="D17" s="2" t="s">
        <v>49</v>
      </c>
      <c r="E17" s="2" t="s">
        <v>31</v>
      </c>
      <c r="F17" s="2">
        <v>2</v>
      </c>
      <c r="G17" s="2">
        <v>56.98</v>
      </c>
      <c r="H17" s="2">
        <v>113.96</v>
      </c>
      <c r="I17" s="2">
        <v>53.959999999999994</v>
      </c>
      <c r="J17" s="2">
        <v>60</v>
      </c>
      <c r="K17" s="2" t="s">
        <v>25</v>
      </c>
      <c r="L17" s="2" t="s">
        <v>19</v>
      </c>
      <c r="M17" s="2">
        <f t="shared" si="0"/>
        <v>1</v>
      </c>
      <c r="N17" s="2">
        <f t="shared" si="1"/>
        <v>0</v>
      </c>
      <c r="O17" s="2">
        <f t="shared" si="2"/>
        <v>0</v>
      </c>
      <c r="P17" s="2" t="s">
        <v>27</v>
      </c>
      <c r="Q17" s="2" t="s">
        <v>28</v>
      </c>
    </row>
    <row r="18" spans="1:17">
      <c r="A18" s="1">
        <v>45423</v>
      </c>
      <c r="B18" s="2" t="s">
        <v>47</v>
      </c>
      <c r="C18" s="2" t="s">
        <v>44</v>
      </c>
      <c r="D18" s="2" t="s">
        <v>49</v>
      </c>
      <c r="E18" s="2" t="s">
        <v>46</v>
      </c>
      <c r="F18" s="2">
        <v>1</v>
      </c>
      <c r="G18" s="2">
        <v>313.14</v>
      </c>
      <c r="H18" s="2">
        <v>313.14</v>
      </c>
      <c r="I18" s="2">
        <v>247.64</v>
      </c>
      <c r="J18" s="2">
        <v>65.5</v>
      </c>
      <c r="K18" s="2" t="s">
        <v>32</v>
      </c>
      <c r="L18" s="2" t="s">
        <v>33</v>
      </c>
      <c r="M18" s="2">
        <f t="shared" si="0"/>
        <v>0</v>
      </c>
      <c r="N18" s="2">
        <f t="shared" si="1"/>
        <v>0</v>
      </c>
      <c r="O18" s="2">
        <f t="shared" si="2"/>
        <v>1</v>
      </c>
      <c r="P18" s="2" t="s">
        <v>34</v>
      </c>
      <c r="Q18" s="2" t="s">
        <v>35</v>
      </c>
    </row>
    <row r="19" spans="1:17">
      <c r="A19" s="1">
        <v>45322</v>
      </c>
      <c r="B19" s="2" t="s">
        <v>38</v>
      </c>
      <c r="C19" s="2" t="s">
        <v>15</v>
      </c>
      <c r="D19" s="2" t="s">
        <v>16</v>
      </c>
      <c r="E19" s="2" t="s">
        <v>24</v>
      </c>
      <c r="F19" s="2">
        <v>4</v>
      </c>
      <c r="G19" s="2">
        <v>53.03</v>
      </c>
      <c r="H19" s="2">
        <v>212.12</v>
      </c>
      <c r="I19" s="2">
        <v>163.12</v>
      </c>
      <c r="J19" s="2">
        <v>49</v>
      </c>
      <c r="K19" s="2" t="s">
        <v>18</v>
      </c>
      <c r="L19" s="2" t="s">
        <v>26</v>
      </c>
      <c r="M19" s="2">
        <f t="shared" si="0"/>
        <v>0</v>
      </c>
      <c r="N19" s="2">
        <f t="shared" si="1"/>
        <v>1</v>
      </c>
      <c r="O19" s="2">
        <f t="shared" si="2"/>
        <v>0</v>
      </c>
      <c r="P19" s="2" t="s">
        <v>37</v>
      </c>
      <c r="Q19" s="2" t="s">
        <v>21</v>
      </c>
    </row>
    <row r="20" spans="1:17">
      <c r="A20" s="1">
        <v>45540</v>
      </c>
      <c r="B20" s="2" t="s">
        <v>50</v>
      </c>
      <c r="C20" s="2" t="s">
        <v>40</v>
      </c>
      <c r="D20" s="2" t="s">
        <v>42</v>
      </c>
      <c r="E20" s="2" t="s">
        <v>46</v>
      </c>
      <c r="F20" s="2">
        <v>10</v>
      </c>
      <c r="G20" s="2">
        <v>152.37</v>
      </c>
      <c r="H20" s="2">
        <v>1523.7</v>
      </c>
      <c r="I20" s="2">
        <v>1483.7</v>
      </c>
      <c r="J20" s="2">
        <v>40</v>
      </c>
      <c r="K20" s="2" t="s">
        <v>25</v>
      </c>
      <c r="L20" s="2" t="s">
        <v>19</v>
      </c>
      <c r="M20" s="2">
        <f t="shared" si="0"/>
        <v>1</v>
      </c>
      <c r="N20" s="2">
        <f t="shared" si="1"/>
        <v>0</v>
      </c>
      <c r="O20" s="2">
        <f t="shared" si="2"/>
        <v>0</v>
      </c>
      <c r="P20" s="2" t="s">
        <v>20</v>
      </c>
      <c r="Q20" s="2" t="s">
        <v>28</v>
      </c>
    </row>
    <row r="21" spans="1:17">
      <c r="A21" s="1">
        <v>45461</v>
      </c>
      <c r="B21" s="2" t="s">
        <v>36</v>
      </c>
      <c r="C21" s="2" t="s">
        <v>15</v>
      </c>
      <c r="D21" s="2" t="s">
        <v>48</v>
      </c>
      <c r="E21" s="2" t="s">
        <v>46</v>
      </c>
      <c r="F21" s="2">
        <v>6</v>
      </c>
      <c r="G21" s="2">
        <v>132.59</v>
      </c>
      <c r="H21" s="2">
        <v>795.54</v>
      </c>
      <c r="I21" s="2">
        <v>735.54</v>
      </c>
      <c r="J21" s="2">
        <v>60</v>
      </c>
      <c r="K21" s="2" t="s">
        <v>32</v>
      </c>
      <c r="L21" s="2" t="s">
        <v>19</v>
      </c>
      <c r="M21" s="2">
        <f t="shared" si="0"/>
        <v>1</v>
      </c>
      <c r="N21" s="2">
        <f t="shared" si="1"/>
        <v>0</v>
      </c>
      <c r="O21" s="2">
        <f t="shared" si="2"/>
        <v>0</v>
      </c>
      <c r="P21" s="2" t="s">
        <v>27</v>
      </c>
      <c r="Q21" s="2" t="s">
        <v>35</v>
      </c>
    </row>
    <row r="22" spans="1:17">
      <c r="A22" s="1">
        <v>45533</v>
      </c>
      <c r="B22" s="2" t="s">
        <v>41</v>
      </c>
      <c r="C22" s="2" t="s">
        <v>30</v>
      </c>
      <c r="D22" s="2" t="s">
        <v>49</v>
      </c>
      <c r="E22" s="2" t="s">
        <v>17</v>
      </c>
      <c r="F22" s="2">
        <v>5</v>
      </c>
      <c r="G22" s="2">
        <v>265.92</v>
      </c>
      <c r="H22" s="2">
        <v>1329.6</v>
      </c>
      <c r="I22" s="2">
        <v>1264.0999999999999</v>
      </c>
      <c r="J22" s="2">
        <v>65.5</v>
      </c>
      <c r="K22" s="2" t="s">
        <v>18</v>
      </c>
      <c r="L22" s="2" t="s">
        <v>26</v>
      </c>
      <c r="M22" s="2">
        <f t="shared" si="0"/>
        <v>0</v>
      </c>
      <c r="N22" s="2">
        <f t="shared" si="1"/>
        <v>1</v>
      </c>
      <c r="O22" s="2">
        <f t="shared" si="2"/>
        <v>0</v>
      </c>
      <c r="P22" s="2" t="s">
        <v>34</v>
      </c>
      <c r="Q22" s="2" t="s">
        <v>21</v>
      </c>
    </row>
    <row r="23" spans="1:17">
      <c r="A23" s="1">
        <v>45461</v>
      </c>
      <c r="B23" s="2" t="s">
        <v>36</v>
      </c>
      <c r="C23" s="2" t="s">
        <v>15</v>
      </c>
      <c r="D23" s="2" t="s">
        <v>49</v>
      </c>
      <c r="E23" s="2" t="s">
        <v>46</v>
      </c>
      <c r="F23" s="2">
        <v>1</v>
      </c>
      <c r="G23" s="2">
        <v>492.81</v>
      </c>
      <c r="H23" s="2">
        <v>492.81</v>
      </c>
      <c r="I23" s="2">
        <v>443.81</v>
      </c>
      <c r="J23" s="2">
        <v>49</v>
      </c>
      <c r="K23" s="2" t="s">
        <v>25</v>
      </c>
      <c r="L23" s="2" t="s">
        <v>33</v>
      </c>
      <c r="M23" s="2">
        <f t="shared" si="0"/>
        <v>0</v>
      </c>
      <c r="N23" s="2">
        <f t="shared" si="1"/>
        <v>0</v>
      </c>
      <c r="O23" s="2">
        <f t="shared" si="2"/>
        <v>1</v>
      </c>
      <c r="P23" s="2" t="s">
        <v>37</v>
      </c>
      <c r="Q23" s="2" t="s">
        <v>28</v>
      </c>
    </row>
    <row r="24" spans="1:17">
      <c r="A24" s="1">
        <v>45357</v>
      </c>
      <c r="B24" s="2" t="s">
        <v>38</v>
      </c>
      <c r="C24" s="2" t="s">
        <v>15</v>
      </c>
      <c r="D24" s="2" t="s">
        <v>49</v>
      </c>
      <c r="E24" s="2" t="s">
        <v>46</v>
      </c>
      <c r="F24" s="2">
        <v>1</v>
      </c>
      <c r="G24" s="2">
        <v>434.04</v>
      </c>
      <c r="H24" s="2">
        <v>434.04</v>
      </c>
      <c r="I24" s="2">
        <v>394.04</v>
      </c>
      <c r="J24" s="2">
        <v>40</v>
      </c>
      <c r="K24" s="2" t="s">
        <v>32</v>
      </c>
      <c r="L24" s="2" t="s">
        <v>19</v>
      </c>
      <c r="M24" s="2">
        <f t="shared" si="0"/>
        <v>1</v>
      </c>
      <c r="N24" s="2">
        <f t="shared" si="1"/>
        <v>0</v>
      </c>
      <c r="O24" s="2">
        <f t="shared" si="2"/>
        <v>0</v>
      </c>
      <c r="P24" s="2" t="s">
        <v>20</v>
      </c>
      <c r="Q24" s="2" t="s">
        <v>35</v>
      </c>
    </row>
    <row r="25" spans="1:17">
      <c r="A25" s="1">
        <v>45436</v>
      </c>
      <c r="B25" s="2" t="s">
        <v>29</v>
      </c>
      <c r="C25" s="2" t="s">
        <v>30</v>
      </c>
      <c r="D25" s="2" t="s">
        <v>42</v>
      </c>
      <c r="E25" s="2" t="s">
        <v>17</v>
      </c>
      <c r="F25" s="2">
        <v>10</v>
      </c>
      <c r="G25" s="2">
        <v>462.7</v>
      </c>
      <c r="H25" s="2">
        <v>4627</v>
      </c>
      <c r="I25" s="2">
        <v>4567</v>
      </c>
      <c r="J25" s="2">
        <v>60</v>
      </c>
      <c r="K25" s="2" t="s">
        <v>18</v>
      </c>
      <c r="L25" s="2" t="s">
        <v>33</v>
      </c>
      <c r="M25" s="2">
        <f t="shared" si="0"/>
        <v>0</v>
      </c>
      <c r="N25" s="2">
        <f t="shared" si="1"/>
        <v>0</v>
      </c>
      <c r="O25" s="2">
        <f t="shared" si="2"/>
        <v>1</v>
      </c>
      <c r="P25" s="2" t="s">
        <v>27</v>
      </c>
      <c r="Q25" s="2" t="s">
        <v>21</v>
      </c>
    </row>
    <row r="26" spans="1:17">
      <c r="A26" s="1">
        <v>45423</v>
      </c>
      <c r="B26" s="2" t="s">
        <v>36</v>
      </c>
      <c r="C26" s="2" t="s">
        <v>15</v>
      </c>
      <c r="D26" s="2" t="s">
        <v>48</v>
      </c>
      <c r="E26" s="2" t="s">
        <v>24</v>
      </c>
      <c r="F26" s="2">
        <v>2</v>
      </c>
      <c r="G26" s="2">
        <v>336.04</v>
      </c>
      <c r="H26" s="2">
        <v>672.08</v>
      </c>
      <c r="I26" s="2">
        <v>606.58000000000004</v>
      </c>
      <c r="J26" s="2">
        <v>65.5</v>
      </c>
      <c r="K26" s="2" t="s">
        <v>25</v>
      </c>
      <c r="L26" s="2" t="s">
        <v>19</v>
      </c>
      <c r="M26" s="2">
        <f t="shared" si="0"/>
        <v>1</v>
      </c>
      <c r="N26" s="2">
        <f t="shared" si="1"/>
        <v>0</v>
      </c>
      <c r="O26" s="2">
        <f t="shared" si="2"/>
        <v>0</v>
      </c>
      <c r="P26" s="2" t="s">
        <v>34</v>
      </c>
      <c r="Q26" s="2" t="s">
        <v>28</v>
      </c>
    </row>
    <row r="27" spans="1:17">
      <c r="A27" s="1">
        <v>45578</v>
      </c>
      <c r="B27" s="2" t="s">
        <v>51</v>
      </c>
      <c r="C27" s="2" t="s">
        <v>52</v>
      </c>
      <c r="D27" s="2" t="s">
        <v>49</v>
      </c>
      <c r="E27" s="2" t="s">
        <v>24</v>
      </c>
      <c r="F27" s="2">
        <v>7</v>
      </c>
      <c r="G27" s="2">
        <v>349.53</v>
      </c>
      <c r="H27" s="2">
        <v>2446.71</v>
      </c>
      <c r="I27" s="2">
        <v>2397.71</v>
      </c>
      <c r="J27" s="2">
        <v>49</v>
      </c>
      <c r="K27" s="2" t="s">
        <v>32</v>
      </c>
      <c r="L27" s="2" t="s">
        <v>26</v>
      </c>
      <c r="M27" s="2">
        <f t="shared" si="0"/>
        <v>0</v>
      </c>
      <c r="N27" s="2">
        <f t="shared" si="1"/>
        <v>1</v>
      </c>
      <c r="O27" s="2">
        <f t="shared" si="2"/>
        <v>0</v>
      </c>
      <c r="P27" s="2" t="s">
        <v>37</v>
      </c>
      <c r="Q27" s="2" t="s">
        <v>35</v>
      </c>
    </row>
    <row r="28" spans="1:17">
      <c r="A28" s="1">
        <v>45365</v>
      </c>
      <c r="B28" s="2" t="s">
        <v>38</v>
      </c>
      <c r="C28" s="2" t="s">
        <v>15</v>
      </c>
      <c r="D28" s="2" t="s">
        <v>23</v>
      </c>
      <c r="E28" s="2" t="s">
        <v>46</v>
      </c>
      <c r="F28" s="2">
        <v>5</v>
      </c>
      <c r="G28" s="2">
        <v>178.39</v>
      </c>
      <c r="H28" s="2">
        <v>891.95</v>
      </c>
      <c r="I28" s="2">
        <v>851.95</v>
      </c>
      <c r="J28" s="2">
        <v>40</v>
      </c>
      <c r="K28" s="2" t="s">
        <v>18</v>
      </c>
      <c r="L28" s="2" t="s">
        <v>26</v>
      </c>
      <c r="M28" s="2">
        <f t="shared" si="0"/>
        <v>0</v>
      </c>
      <c r="N28" s="2">
        <f t="shared" si="1"/>
        <v>1</v>
      </c>
      <c r="O28" s="2">
        <f t="shared" si="2"/>
        <v>0</v>
      </c>
      <c r="P28" s="2" t="s">
        <v>20</v>
      </c>
      <c r="Q28" s="2" t="s">
        <v>21</v>
      </c>
    </row>
    <row r="29" spans="1:17">
      <c r="A29" s="1">
        <v>45559</v>
      </c>
      <c r="B29" s="2" t="s">
        <v>53</v>
      </c>
      <c r="C29" s="2" t="s">
        <v>40</v>
      </c>
      <c r="D29" s="2" t="s">
        <v>16</v>
      </c>
      <c r="E29" s="2" t="s">
        <v>31</v>
      </c>
      <c r="F29" s="2">
        <v>9</v>
      </c>
      <c r="G29" s="2">
        <v>479.97</v>
      </c>
      <c r="H29" s="2">
        <v>4319.7299999999996</v>
      </c>
      <c r="I29" s="2">
        <v>4259.7299999999996</v>
      </c>
      <c r="J29" s="2">
        <v>60</v>
      </c>
      <c r="K29" s="2" t="s">
        <v>25</v>
      </c>
      <c r="L29" s="2" t="s">
        <v>33</v>
      </c>
      <c r="M29" s="2">
        <f t="shared" si="0"/>
        <v>0</v>
      </c>
      <c r="N29" s="2">
        <f t="shared" si="1"/>
        <v>0</v>
      </c>
      <c r="O29" s="2">
        <f t="shared" si="2"/>
        <v>1</v>
      </c>
      <c r="P29" s="2" t="s">
        <v>27</v>
      </c>
      <c r="Q29" s="2" t="s">
        <v>28</v>
      </c>
    </row>
    <row r="30" spans="1:17">
      <c r="A30" s="1">
        <v>45303</v>
      </c>
      <c r="B30" s="2" t="s">
        <v>53</v>
      </c>
      <c r="C30" s="2" t="s">
        <v>40</v>
      </c>
      <c r="D30" s="2" t="s">
        <v>42</v>
      </c>
      <c r="E30" s="2" t="s">
        <v>17</v>
      </c>
      <c r="F30" s="2">
        <v>1</v>
      </c>
      <c r="G30" s="2">
        <v>226.32</v>
      </c>
      <c r="H30" s="2">
        <v>226.32</v>
      </c>
      <c r="I30" s="2">
        <v>160.82</v>
      </c>
      <c r="J30" s="2">
        <v>65.5</v>
      </c>
      <c r="K30" s="2" t="s">
        <v>32</v>
      </c>
      <c r="L30" s="2" t="s">
        <v>19</v>
      </c>
      <c r="M30" s="2">
        <f t="shared" si="0"/>
        <v>1</v>
      </c>
      <c r="N30" s="2">
        <f t="shared" si="1"/>
        <v>0</v>
      </c>
      <c r="O30" s="2">
        <f t="shared" si="2"/>
        <v>0</v>
      </c>
      <c r="P30" s="2" t="s">
        <v>34</v>
      </c>
      <c r="Q30" s="2" t="s">
        <v>35</v>
      </c>
    </row>
    <row r="31" spans="1:17">
      <c r="A31" s="1">
        <v>45545</v>
      </c>
      <c r="B31" s="2" t="s">
        <v>53</v>
      </c>
      <c r="C31" s="2" t="s">
        <v>40</v>
      </c>
      <c r="D31" s="2" t="s">
        <v>23</v>
      </c>
      <c r="E31" s="2" t="s">
        <v>31</v>
      </c>
      <c r="F31" s="2">
        <v>6</v>
      </c>
      <c r="G31" s="2">
        <v>430.69</v>
      </c>
      <c r="H31" s="2">
        <v>2584.14</v>
      </c>
      <c r="I31" s="2">
        <v>2535.14</v>
      </c>
      <c r="J31" s="2">
        <v>49</v>
      </c>
      <c r="K31" s="2" t="s">
        <v>18</v>
      </c>
      <c r="L31" s="2" t="s">
        <v>19</v>
      </c>
      <c r="M31" s="2">
        <f t="shared" si="0"/>
        <v>1</v>
      </c>
      <c r="N31" s="2">
        <f t="shared" si="1"/>
        <v>0</v>
      </c>
      <c r="O31" s="2">
        <f t="shared" si="2"/>
        <v>0</v>
      </c>
      <c r="P31" s="2" t="s">
        <v>37</v>
      </c>
      <c r="Q31" s="2" t="s">
        <v>21</v>
      </c>
    </row>
    <row r="32" spans="1:17">
      <c r="A32" s="1">
        <v>45490</v>
      </c>
      <c r="B32" s="2" t="s">
        <v>41</v>
      </c>
      <c r="C32" s="2" t="s">
        <v>30</v>
      </c>
      <c r="D32" s="2" t="s">
        <v>23</v>
      </c>
      <c r="E32" s="2" t="s">
        <v>46</v>
      </c>
      <c r="F32" s="2">
        <v>3</v>
      </c>
      <c r="G32" s="2">
        <v>393.27</v>
      </c>
      <c r="H32" s="2">
        <v>1179.81</v>
      </c>
      <c r="I32" s="2">
        <v>1139.81</v>
      </c>
      <c r="J32" s="2">
        <v>40</v>
      </c>
      <c r="K32" s="2" t="s">
        <v>25</v>
      </c>
      <c r="L32" s="2" t="s">
        <v>26</v>
      </c>
      <c r="M32" s="2">
        <f t="shared" si="0"/>
        <v>0</v>
      </c>
      <c r="N32" s="2">
        <f t="shared" si="1"/>
        <v>1</v>
      </c>
      <c r="O32" s="2">
        <f t="shared" si="2"/>
        <v>0</v>
      </c>
      <c r="P32" s="2" t="s">
        <v>20</v>
      </c>
      <c r="Q32" s="2" t="s">
        <v>28</v>
      </c>
    </row>
    <row r="33" spans="1:17">
      <c r="A33" s="1">
        <v>45371</v>
      </c>
      <c r="B33" s="2" t="s">
        <v>22</v>
      </c>
      <c r="C33" s="2" t="s">
        <v>15</v>
      </c>
      <c r="D33" s="2" t="s">
        <v>16</v>
      </c>
      <c r="E33" s="2" t="s">
        <v>24</v>
      </c>
      <c r="F33" s="2">
        <v>9</v>
      </c>
      <c r="G33" s="2">
        <v>475.63</v>
      </c>
      <c r="H33" s="2">
        <v>4280.67</v>
      </c>
      <c r="I33" s="2">
        <v>4220.67</v>
      </c>
      <c r="J33" s="2">
        <v>60</v>
      </c>
      <c r="K33" s="2" t="s">
        <v>32</v>
      </c>
      <c r="L33" s="2" t="s">
        <v>33</v>
      </c>
      <c r="M33" s="2">
        <f t="shared" si="0"/>
        <v>0</v>
      </c>
      <c r="N33" s="2">
        <f t="shared" si="1"/>
        <v>0</v>
      </c>
      <c r="O33" s="2">
        <f t="shared" si="2"/>
        <v>1</v>
      </c>
      <c r="P33" s="2" t="s">
        <v>27</v>
      </c>
      <c r="Q33" s="2" t="s">
        <v>35</v>
      </c>
    </row>
    <row r="34" spans="1:17">
      <c r="A34" s="1">
        <v>45565</v>
      </c>
      <c r="B34" s="2" t="s">
        <v>22</v>
      </c>
      <c r="C34" s="2" t="s">
        <v>15</v>
      </c>
      <c r="D34" s="2" t="s">
        <v>16</v>
      </c>
      <c r="E34" s="2" t="s">
        <v>17</v>
      </c>
      <c r="F34" s="2">
        <v>1</v>
      </c>
      <c r="G34" s="2">
        <v>286.63</v>
      </c>
      <c r="H34" s="2">
        <v>286.63</v>
      </c>
      <c r="I34" s="2">
        <v>221.13</v>
      </c>
      <c r="J34" s="2">
        <v>65.5</v>
      </c>
      <c r="K34" s="2" t="s">
        <v>18</v>
      </c>
      <c r="L34" s="2" t="s">
        <v>19</v>
      </c>
      <c r="M34" s="2">
        <f t="shared" si="0"/>
        <v>1</v>
      </c>
      <c r="N34" s="2">
        <f t="shared" si="1"/>
        <v>0</v>
      </c>
      <c r="O34" s="2">
        <f t="shared" si="2"/>
        <v>0</v>
      </c>
      <c r="P34" s="2" t="s">
        <v>34</v>
      </c>
      <c r="Q34" s="2" t="s">
        <v>21</v>
      </c>
    </row>
    <row r="35" spans="1:17">
      <c r="A35" s="1">
        <v>45545</v>
      </c>
      <c r="B35" s="2" t="s">
        <v>29</v>
      </c>
      <c r="C35" s="2" t="s">
        <v>30</v>
      </c>
      <c r="D35" s="2" t="s">
        <v>23</v>
      </c>
      <c r="E35" s="2" t="s">
        <v>31</v>
      </c>
      <c r="F35" s="2">
        <v>6</v>
      </c>
      <c r="G35" s="2">
        <v>66.28</v>
      </c>
      <c r="H35" s="2">
        <v>397.68</v>
      </c>
      <c r="I35" s="2">
        <v>348.68</v>
      </c>
      <c r="J35" s="2">
        <v>49</v>
      </c>
      <c r="K35" s="2" t="s">
        <v>25</v>
      </c>
      <c r="L35" s="2" t="s">
        <v>26</v>
      </c>
      <c r="M35" s="2">
        <f t="shared" si="0"/>
        <v>0</v>
      </c>
      <c r="N35" s="2">
        <f t="shared" si="1"/>
        <v>1</v>
      </c>
      <c r="O35" s="2">
        <f t="shared" si="2"/>
        <v>0</v>
      </c>
      <c r="P35" s="2" t="s">
        <v>37</v>
      </c>
      <c r="Q35" s="2" t="s">
        <v>28</v>
      </c>
    </row>
    <row r="36" spans="1:17">
      <c r="A36" s="1">
        <v>45373</v>
      </c>
      <c r="B36" s="2" t="s">
        <v>54</v>
      </c>
      <c r="C36" s="2" t="s">
        <v>40</v>
      </c>
      <c r="D36" s="2" t="s">
        <v>49</v>
      </c>
      <c r="E36" s="2" t="s">
        <v>17</v>
      </c>
      <c r="F36" s="2">
        <v>1</v>
      </c>
      <c r="G36" s="2">
        <v>188.02</v>
      </c>
      <c r="H36" s="2">
        <v>188.02</v>
      </c>
      <c r="I36" s="2">
        <v>148.02000000000001</v>
      </c>
      <c r="J36" s="2">
        <v>40</v>
      </c>
      <c r="K36" s="2" t="s">
        <v>32</v>
      </c>
      <c r="L36" s="2" t="s">
        <v>19</v>
      </c>
      <c r="M36" s="2">
        <f t="shared" ref="M36:M67" si="3">IF(L36="Completed",1,0)</f>
        <v>1</v>
      </c>
      <c r="N36" s="2">
        <f t="shared" ref="N36:N67" si="4">IF(L36="Pending",1,0)</f>
        <v>0</v>
      </c>
      <c r="O36" s="2">
        <f t="shared" ref="O36:O67" si="5">IF(L36="Cancelled",1,0)</f>
        <v>0</v>
      </c>
      <c r="P36" s="2" t="s">
        <v>20</v>
      </c>
      <c r="Q36" s="2" t="s">
        <v>35</v>
      </c>
    </row>
    <row r="37" spans="1:17">
      <c r="A37" s="1">
        <v>45328</v>
      </c>
      <c r="B37" s="2" t="s">
        <v>29</v>
      </c>
      <c r="C37" s="2" t="s">
        <v>30</v>
      </c>
      <c r="D37" s="2" t="s">
        <v>16</v>
      </c>
      <c r="E37" s="2" t="s">
        <v>31</v>
      </c>
      <c r="F37" s="2">
        <v>2</v>
      </c>
      <c r="G37" s="2">
        <v>163.61000000000001</v>
      </c>
      <c r="H37" s="2">
        <v>327.22000000000003</v>
      </c>
      <c r="I37" s="2">
        <v>267.22000000000003</v>
      </c>
      <c r="J37" s="2">
        <v>60</v>
      </c>
      <c r="K37" s="2" t="s">
        <v>18</v>
      </c>
      <c r="L37" s="2" t="s">
        <v>33</v>
      </c>
      <c r="M37" s="2">
        <f t="shared" si="3"/>
        <v>0</v>
      </c>
      <c r="N37" s="2">
        <f t="shared" si="4"/>
        <v>0</v>
      </c>
      <c r="O37" s="2">
        <f t="shared" si="5"/>
        <v>1</v>
      </c>
      <c r="P37" s="2" t="s">
        <v>27</v>
      </c>
      <c r="Q37" s="2" t="s">
        <v>21</v>
      </c>
    </row>
    <row r="38" spans="1:17">
      <c r="A38" s="1">
        <v>45387</v>
      </c>
      <c r="B38" s="2" t="s">
        <v>50</v>
      </c>
      <c r="C38" s="2" t="s">
        <v>40</v>
      </c>
      <c r="D38" s="2" t="s">
        <v>23</v>
      </c>
      <c r="E38" s="2" t="s">
        <v>24</v>
      </c>
      <c r="F38" s="2">
        <v>5</v>
      </c>
      <c r="G38" s="2">
        <v>235.55</v>
      </c>
      <c r="H38" s="2">
        <v>1177.75</v>
      </c>
      <c r="I38" s="2">
        <v>1112.25</v>
      </c>
      <c r="J38" s="2">
        <v>65.5</v>
      </c>
      <c r="K38" s="2" t="s">
        <v>25</v>
      </c>
      <c r="L38" s="2" t="s">
        <v>26</v>
      </c>
      <c r="M38" s="2">
        <f t="shared" si="3"/>
        <v>0</v>
      </c>
      <c r="N38" s="2">
        <f t="shared" si="4"/>
        <v>1</v>
      </c>
      <c r="O38" s="2">
        <f t="shared" si="5"/>
        <v>0</v>
      </c>
      <c r="P38" s="2" t="s">
        <v>34</v>
      </c>
      <c r="Q38" s="2" t="s">
        <v>28</v>
      </c>
    </row>
    <row r="39" spans="1:17">
      <c r="A39" s="1">
        <v>45408</v>
      </c>
      <c r="B39" s="2" t="s">
        <v>39</v>
      </c>
      <c r="C39" s="2" t="s">
        <v>40</v>
      </c>
      <c r="D39" s="2" t="s">
        <v>48</v>
      </c>
      <c r="E39" s="2" t="s">
        <v>24</v>
      </c>
      <c r="F39" s="2">
        <v>9</v>
      </c>
      <c r="G39" s="2">
        <v>342.15</v>
      </c>
      <c r="H39" s="2">
        <v>3079.35</v>
      </c>
      <c r="I39" s="2">
        <v>3030.35</v>
      </c>
      <c r="J39" s="2">
        <v>49</v>
      </c>
      <c r="K39" s="2" t="s">
        <v>32</v>
      </c>
      <c r="L39" s="2" t="s">
        <v>19</v>
      </c>
      <c r="M39" s="2">
        <f t="shared" si="3"/>
        <v>1</v>
      </c>
      <c r="N39" s="2">
        <f t="shared" si="4"/>
        <v>0</v>
      </c>
      <c r="O39" s="2">
        <f t="shared" si="5"/>
        <v>0</v>
      </c>
      <c r="P39" s="2" t="s">
        <v>37</v>
      </c>
      <c r="Q39" s="2" t="s">
        <v>35</v>
      </c>
    </row>
    <row r="40" spans="1:17">
      <c r="A40" s="1">
        <v>45569</v>
      </c>
      <c r="B40" s="2" t="s">
        <v>55</v>
      </c>
      <c r="C40" s="2" t="s">
        <v>44</v>
      </c>
      <c r="D40" s="2" t="s">
        <v>23</v>
      </c>
      <c r="E40" s="2" t="s">
        <v>46</v>
      </c>
      <c r="F40" s="2">
        <v>4</v>
      </c>
      <c r="G40" s="2">
        <v>117.1</v>
      </c>
      <c r="H40" s="2">
        <v>468.4</v>
      </c>
      <c r="I40" s="2">
        <v>428.4</v>
      </c>
      <c r="J40" s="2">
        <v>40</v>
      </c>
      <c r="K40" s="2" t="s">
        <v>18</v>
      </c>
      <c r="L40" s="2" t="s">
        <v>33</v>
      </c>
      <c r="M40" s="2">
        <f t="shared" si="3"/>
        <v>0</v>
      </c>
      <c r="N40" s="2">
        <f t="shared" si="4"/>
        <v>0</v>
      </c>
      <c r="O40" s="2">
        <f t="shared" si="5"/>
        <v>1</v>
      </c>
      <c r="P40" s="2" t="s">
        <v>20</v>
      </c>
      <c r="Q40" s="2" t="s">
        <v>21</v>
      </c>
    </row>
    <row r="41" spans="1:17">
      <c r="A41" s="1">
        <v>45396</v>
      </c>
      <c r="B41" s="2" t="s">
        <v>56</v>
      </c>
      <c r="C41" s="2" t="s">
        <v>52</v>
      </c>
      <c r="D41" s="2" t="s">
        <v>23</v>
      </c>
      <c r="E41" s="2" t="s">
        <v>31</v>
      </c>
      <c r="F41" s="2">
        <v>2</v>
      </c>
      <c r="G41" s="2">
        <v>416.69</v>
      </c>
      <c r="H41" s="2">
        <v>833.38</v>
      </c>
      <c r="I41" s="2">
        <v>773.38</v>
      </c>
      <c r="J41" s="2">
        <v>60</v>
      </c>
      <c r="K41" s="2" t="s">
        <v>25</v>
      </c>
      <c r="L41" s="2" t="s">
        <v>19</v>
      </c>
      <c r="M41" s="2">
        <f t="shared" si="3"/>
        <v>1</v>
      </c>
      <c r="N41" s="2">
        <f t="shared" si="4"/>
        <v>0</v>
      </c>
      <c r="O41" s="2">
        <f t="shared" si="5"/>
        <v>0</v>
      </c>
      <c r="P41" s="2" t="s">
        <v>27</v>
      </c>
      <c r="Q41" s="2" t="s">
        <v>28</v>
      </c>
    </row>
    <row r="42" spans="1:17">
      <c r="A42" s="1">
        <v>45425</v>
      </c>
      <c r="B42" s="2" t="s">
        <v>14</v>
      </c>
      <c r="C42" s="2" t="s">
        <v>15</v>
      </c>
      <c r="D42" s="2" t="s">
        <v>49</v>
      </c>
      <c r="E42" s="2" t="s">
        <v>17</v>
      </c>
      <c r="F42" s="2">
        <v>8</v>
      </c>
      <c r="G42" s="2">
        <v>341.07</v>
      </c>
      <c r="H42" s="2">
        <v>2728.56</v>
      </c>
      <c r="I42" s="2">
        <v>2663.06</v>
      </c>
      <c r="J42" s="2">
        <v>65.5</v>
      </c>
      <c r="K42" s="2" t="s">
        <v>32</v>
      </c>
      <c r="L42" s="2" t="s">
        <v>26</v>
      </c>
      <c r="M42" s="2">
        <f t="shared" si="3"/>
        <v>0</v>
      </c>
      <c r="N42" s="2">
        <f t="shared" si="4"/>
        <v>1</v>
      </c>
      <c r="O42" s="2">
        <f t="shared" si="5"/>
        <v>0</v>
      </c>
      <c r="P42" s="2" t="s">
        <v>34</v>
      </c>
      <c r="Q42" s="2" t="s">
        <v>35</v>
      </c>
    </row>
    <row r="43" spans="1:17">
      <c r="A43" s="1">
        <v>45460</v>
      </c>
      <c r="B43" s="2" t="s">
        <v>57</v>
      </c>
      <c r="C43" s="2" t="s">
        <v>30</v>
      </c>
      <c r="D43" s="2" t="s">
        <v>16</v>
      </c>
      <c r="E43" s="2" t="s">
        <v>31</v>
      </c>
      <c r="F43" s="2">
        <v>7</v>
      </c>
      <c r="G43" s="2">
        <v>76.53</v>
      </c>
      <c r="H43" s="2">
        <v>535.71</v>
      </c>
      <c r="I43" s="2">
        <v>486.71000000000004</v>
      </c>
      <c r="J43" s="2">
        <v>49</v>
      </c>
      <c r="K43" s="2" t="s">
        <v>18</v>
      </c>
      <c r="L43" s="2" t="s">
        <v>33</v>
      </c>
      <c r="M43" s="2">
        <f t="shared" si="3"/>
        <v>0</v>
      </c>
      <c r="N43" s="2">
        <f t="shared" si="4"/>
        <v>0</v>
      </c>
      <c r="O43" s="2">
        <f t="shared" si="5"/>
        <v>1</v>
      </c>
      <c r="P43" s="2" t="s">
        <v>37</v>
      </c>
      <c r="Q43" s="2" t="s">
        <v>21</v>
      </c>
    </row>
    <row r="44" spans="1:17">
      <c r="A44" s="1">
        <v>45508</v>
      </c>
      <c r="B44" s="2" t="s">
        <v>36</v>
      </c>
      <c r="C44" s="2" t="s">
        <v>15</v>
      </c>
      <c r="D44" s="2" t="s">
        <v>49</v>
      </c>
      <c r="E44" s="2" t="s">
        <v>46</v>
      </c>
      <c r="F44" s="2">
        <v>5</v>
      </c>
      <c r="G44" s="2">
        <v>302.08</v>
      </c>
      <c r="H44" s="2">
        <v>1510.4</v>
      </c>
      <c r="I44" s="2">
        <v>1470.4</v>
      </c>
      <c r="J44" s="2">
        <v>40</v>
      </c>
      <c r="K44" s="2" t="s">
        <v>25</v>
      </c>
      <c r="L44" s="2" t="s">
        <v>19</v>
      </c>
      <c r="M44" s="2">
        <f t="shared" si="3"/>
        <v>1</v>
      </c>
      <c r="N44" s="2">
        <f t="shared" si="4"/>
        <v>0</v>
      </c>
      <c r="O44" s="2">
        <f t="shared" si="5"/>
        <v>0</v>
      </c>
      <c r="P44" s="2" t="s">
        <v>20</v>
      </c>
      <c r="Q44" s="2" t="s">
        <v>28</v>
      </c>
    </row>
    <row r="45" spans="1:17">
      <c r="A45" s="1">
        <v>45406</v>
      </c>
      <c r="B45" s="2" t="s">
        <v>56</v>
      </c>
      <c r="C45" s="2" t="s">
        <v>52</v>
      </c>
      <c r="D45" s="2" t="s">
        <v>42</v>
      </c>
      <c r="E45" s="2" t="s">
        <v>24</v>
      </c>
      <c r="F45" s="2">
        <v>6</v>
      </c>
      <c r="G45" s="2">
        <v>343.96</v>
      </c>
      <c r="H45" s="2">
        <v>2063.7600000000002</v>
      </c>
      <c r="I45" s="2">
        <v>2003.7600000000002</v>
      </c>
      <c r="J45" s="2">
        <v>60</v>
      </c>
      <c r="K45" s="2" t="s">
        <v>32</v>
      </c>
      <c r="L45" s="2" t="s">
        <v>26</v>
      </c>
      <c r="M45" s="2">
        <f t="shared" si="3"/>
        <v>0</v>
      </c>
      <c r="N45" s="2">
        <f t="shared" si="4"/>
        <v>1</v>
      </c>
      <c r="O45" s="2">
        <f t="shared" si="5"/>
        <v>0</v>
      </c>
      <c r="P45" s="2" t="s">
        <v>27</v>
      </c>
      <c r="Q45" s="2" t="s">
        <v>35</v>
      </c>
    </row>
    <row r="46" spans="1:17">
      <c r="A46" s="1">
        <v>45442</v>
      </c>
      <c r="B46" s="2" t="s">
        <v>36</v>
      </c>
      <c r="C46" s="2" t="s">
        <v>15</v>
      </c>
      <c r="D46" s="2" t="s">
        <v>42</v>
      </c>
      <c r="E46" s="2" t="s">
        <v>31</v>
      </c>
      <c r="F46" s="2">
        <v>3</v>
      </c>
      <c r="G46" s="2">
        <v>334.52</v>
      </c>
      <c r="H46" s="2">
        <v>1003.56</v>
      </c>
      <c r="I46" s="2">
        <v>938.06</v>
      </c>
      <c r="J46" s="2">
        <v>65.5</v>
      </c>
      <c r="K46" s="2" t="s">
        <v>18</v>
      </c>
      <c r="L46" s="2" t="s">
        <v>33</v>
      </c>
      <c r="M46" s="2">
        <f t="shared" si="3"/>
        <v>0</v>
      </c>
      <c r="N46" s="2">
        <f t="shared" si="4"/>
        <v>0</v>
      </c>
      <c r="O46" s="2">
        <f t="shared" si="5"/>
        <v>1</v>
      </c>
      <c r="P46" s="2" t="s">
        <v>34</v>
      </c>
      <c r="Q46" s="2" t="s">
        <v>21</v>
      </c>
    </row>
    <row r="47" spans="1:17">
      <c r="A47" s="1">
        <v>45527</v>
      </c>
      <c r="B47" s="2" t="s">
        <v>36</v>
      </c>
      <c r="C47" s="2" t="s">
        <v>15</v>
      </c>
      <c r="D47" s="2" t="s">
        <v>49</v>
      </c>
      <c r="E47" s="2" t="s">
        <v>17</v>
      </c>
      <c r="F47" s="2">
        <v>6</v>
      </c>
      <c r="G47" s="2">
        <v>108.38</v>
      </c>
      <c r="H47" s="2">
        <v>650.28</v>
      </c>
      <c r="I47" s="2">
        <v>601.28</v>
      </c>
      <c r="J47" s="2">
        <v>49</v>
      </c>
      <c r="K47" s="2" t="s">
        <v>25</v>
      </c>
      <c r="L47" s="2" t="s">
        <v>19</v>
      </c>
      <c r="M47" s="2">
        <f t="shared" si="3"/>
        <v>1</v>
      </c>
      <c r="N47" s="2">
        <f t="shared" si="4"/>
        <v>0</v>
      </c>
      <c r="O47" s="2">
        <f t="shared" si="5"/>
        <v>0</v>
      </c>
      <c r="P47" s="2" t="s">
        <v>37</v>
      </c>
      <c r="Q47" s="2" t="s">
        <v>28</v>
      </c>
    </row>
    <row r="48" spans="1:17">
      <c r="A48" s="1">
        <v>45511</v>
      </c>
      <c r="B48" s="2" t="s">
        <v>43</v>
      </c>
      <c r="C48" s="2" t="s">
        <v>44</v>
      </c>
      <c r="D48" s="2" t="s">
        <v>16</v>
      </c>
      <c r="E48" s="2" t="s">
        <v>17</v>
      </c>
      <c r="F48" s="2">
        <v>6</v>
      </c>
      <c r="G48" s="2">
        <v>135.08000000000001</v>
      </c>
      <c r="H48" s="2">
        <v>810.48</v>
      </c>
      <c r="I48" s="2">
        <v>770.48</v>
      </c>
      <c r="J48" s="2">
        <v>40</v>
      </c>
      <c r="K48" s="2" t="s">
        <v>32</v>
      </c>
      <c r="L48" s="2" t="s">
        <v>19</v>
      </c>
      <c r="M48" s="2">
        <f t="shared" si="3"/>
        <v>1</v>
      </c>
      <c r="N48" s="2">
        <f t="shared" si="4"/>
        <v>0</v>
      </c>
      <c r="O48" s="2">
        <f t="shared" si="5"/>
        <v>0</v>
      </c>
      <c r="P48" s="2" t="s">
        <v>20</v>
      </c>
      <c r="Q48" s="2" t="s">
        <v>35</v>
      </c>
    </row>
    <row r="49" spans="1:17">
      <c r="A49" s="1">
        <v>45382</v>
      </c>
      <c r="B49" s="2" t="s">
        <v>38</v>
      </c>
      <c r="C49" s="2" t="s">
        <v>15</v>
      </c>
      <c r="D49" s="2" t="s">
        <v>49</v>
      </c>
      <c r="E49" s="2" t="s">
        <v>46</v>
      </c>
      <c r="F49" s="2">
        <v>8</v>
      </c>
      <c r="G49" s="2">
        <v>217.97</v>
      </c>
      <c r="H49" s="2">
        <v>1743.76</v>
      </c>
      <c r="I49" s="2">
        <v>1683.76</v>
      </c>
      <c r="J49" s="2">
        <v>60</v>
      </c>
      <c r="K49" s="2" t="s">
        <v>18</v>
      </c>
      <c r="L49" s="2" t="s">
        <v>33</v>
      </c>
      <c r="M49" s="2">
        <f t="shared" si="3"/>
        <v>0</v>
      </c>
      <c r="N49" s="2">
        <f t="shared" si="4"/>
        <v>0</v>
      </c>
      <c r="O49" s="2">
        <f t="shared" si="5"/>
        <v>1</v>
      </c>
      <c r="P49" s="2" t="s">
        <v>27</v>
      </c>
      <c r="Q49" s="2" t="s">
        <v>21</v>
      </c>
    </row>
    <row r="50" spans="1:17">
      <c r="A50" s="1">
        <v>45318</v>
      </c>
      <c r="B50" s="2" t="s">
        <v>38</v>
      </c>
      <c r="C50" s="2" t="s">
        <v>15</v>
      </c>
      <c r="D50" s="2" t="s">
        <v>42</v>
      </c>
      <c r="E50" s="2" t="s">
        <v>31</v>
      </c>
      <c r="F50" s="2">
        <v>10</v>
      </c>
      <c r="G50" s="2">
        <v>315.7</v>
      </c>
      <c r="H50" s="2">
        <v>3157</v>
      </c>
      <c r="I50" s="2">
        <v>3091.5</v>
      </c>
      <c r="J50" s="2">
        <v>65.5</v>
      </c>
      <c r="K50" s="2" t="s">
        <v>25</v>
      </c>
      <c r="L50" s="2" t="s">
        <v>19</v>
      </c>
      <c r="M50" s="2">
        <f t="shared" si="3"/>
        <v>1</v>
      </c>
      <c r="N50" s="2">
        <f t="shared" si="4"/>
        <v>0</v>
      </c>
      <c r="O50" s="2">
        <f t="shared" si="5"/>
        <v>0</v>
      </c>
      <c r="P50" s="2" t="s">
        <v>34</v>
      </c>
      <c r="Q50" s="2" t="s">
        <v>28</v>
      </c>
    </row>
    <row r="51" spans="1:17">
      <c r="A51" s="1">
        <v>45444</v>
      </c>
      <c r="B51" s="2" t="s">
        <v>53</v>
      </c>
      <c r="C51" s="2" t="s">
        <v>40</v>
      </c>
      <c r="D51" s="2" t="s">
        <v>42</v>
      </c>
      <c r="E51" s="2" t="s">
        <v>31</v>
      </c>
      <c r="F51" s="2">
        <v>4</v>
      </c>
      <c r="G51" s="2">
        <v>275.02999999999997</v>
      </c>
      <c r="H51" s="2">
        <v>1100.1199999999999</v>
      </c>
      <c r="I51" s="2">
        <v>1051.1199999999999</v>
      </c>
      <c r="J51" s="2">
        <v>49</v>
      </c>
      <c r="K51" s="2" t="s">
        <v>32</v>
      </c>
      <c r="L51" s="2" t="s">
        <v>26</v>
      </c>
      <c r="M51" s="2">
        <f t="shared" si="3"/>
        <v>0</v>
      </c>
      <c r="N51" s="2">
        <f t="shared" si="4"/>
        <v>1</v>
      </c>
      <c r="O51" s="2">
        <f t="shared" si="5"/>
        <v>0</v>
      </c>
      <c r="P51" s="2" t="s">
        <v>37</v>
      </c>
      <c r="Q51" s="2" t="s">
        <v>35</v>
      </c>
    </row>
    <row r="52" spans="1:17">
      <c r="A52" s="1">
        <v>45389</v>
      </c>
      <c r="B52" s="2" t="s">
        <v>54</v>
      </c>
      <c r="C52" s="2" t="s">
        <v>40</v>
      </c>
      <c r="D52" s="2" t="s">
        <v>23</v>
      </c>
      <c r="E52" s="2" t="s">
        <v>46</v>
      </c>
      <c r="F52" s="2">
        <v>2</v>
      </c>
      <c r="G52" s="2">
        <v>333.53</v>
      </c>
      <c r="H52" s="2">
        <v>667.06</v>
      </c>
      <c r="I52" s="2">
        <v>627.05999999999995</v>
      </c>
      <c r="J52" s="2">
        <v>40</v>
      </c>
      <c r="K52" s="2" t="s">
        <v>18</v>
      </c>
      <c r="L52" s="2" t="s">
        <v>19</v>
      </c>
      <c r="M52" s="2">
        <f t="shared" si="3"/>
        <v>1</v>
      </c>
      <c r="N52" s="2">
        <f t="shared" si="4"/>
        <v>0</v>
      </c>
      <c r="O52" s="2">
        <f t="shared" si="5"/>
        <v>0</v>
      </c>
      <c r="P52" s="2" t="s">
        <v>20</v>
      </c>
      <c r="Q52" s="2" t="s">
        <v>21</v>
      </c>
    </row>
    <row r="53" spans="1:17">
      <c r="A53" s="1">
        <v>45393</v>
      </c>
      <c r="B53" s="2" t="s">
        <v>45</v>
      </c>
      <c r="C53" s="2" t="s">
        <v>44</v>
      </c>
      <c r="D53" s="2" t="s">
        <v>23</v>
      </c>
      <c r="E53" s="2" t="s">
        <v>31</v>
      </c>
      <c r="F53" s="2">
        <v>10</v>
      </c>
      <c r="G53" s="2">
        <v>493.05</v>
      </c>
      <c r="H53" s="2">
        <v>4930.5</v>
      </c>
      <c r="I53" s="2">
        <v>4870.5</v>
      </c>
      <c r="J53" s="2">
        <v>60</v>
      </c>
      <c r="K53" s="2" t="s">
        <v>25</v>
      </c>
      <c r="L53" s="2" t="s">
        <v>33</v>
      </c>
      <c r="M53" s="2">
        <f t="shared" si="3"/>
        <v>0</v>
      </c>
      <c r="N53" s="2">
        <f t="shared" si="4"/>
        <v>0</v>
      </c>
      <c r="O53" s="2">
        <f t="shared" si="5"/>
        <v>1</v>
      </c>
      <c r="P53" s="2" t="s">
        <v>27</v>
      </c>
      <c r="Q53" s="2" t="s">
        <v>28</v>
      </c>
    </row>
    <row r="54" spans="1:17">
      <c r="A54" s="1">
        <v>45314</v>
      </c>
      <c r="B54" s="2" t="s">
        <v>50</v>
      </c>
      <c r="C54" s="2" t="s">
        <v>40</v>
      </c>
      <c r="D54" s="2" t="s">
        <v>16</v>
      </c>
      <c r="E54" s="2" t="s">
        <v>24</v>
      </c>
      <c r="F54" s="2">
        <v>2</v>
      </c>
      <c r="G54" s="2">
        <v>154.16</v>
      </c>
      <c r="H54" s="2">
        <v>308.32</v>
      </c>
      <c r="I54" s="2">
        <v>242.82</v>
      </c>
      <c r="J54" s="2">
        <v>65.5</v>
      </c>
      <c r="K54" s="2" t="s">
        <v>32</v>
      </c>
      <c r="L54" s="2" t="s">
        <v>26</v>
      </c>
      <c r="M54" s="2">
        <f t="shared" si="3"/>
        <v>0</v>
      </c>
      <c r="N54" s="2">
        <f t="shared" si="4"/>
        <v>1</v>
      </c>
      <c r="O54" s="2">
        <f t="shared" si="5"/>
        <v>0</v>
      </c>
      <c r="P54" s="2" t="s">
        <v>34</v>
      </c>
      <c r="Q54" s="2" t="s">
        <v>35</v>
      </c>
    </row>
    <row r="55" spans="1:17">
      <c r="A55" s="1">
        <v>45306</v>
      </c>
      <c r="B55" s="2" t="s">
        <v>58</v>
      </c>
      <c r="C55" s="2" t="s">
        <v>52</v>
      </c>
      <c r="D55" s="2" t="s">
        <v>48</v>
      </c>
      <c r="E55" s="2" t="s">
        <v>31</v>
      </c>
      <c r="F55" s="2">
        <v>10</v>
      </c>
      <c r="G55" s="2">
        <v>294.19</v>
      </c>
      <c r="H55" s="2">
        <v>2941.9</v>
      </c>
      <c r="I55" s="2">
        <v>2892.9</v>
      </c>
      <c r="J55" s="2">
        <v>49</v>
      </c>
      <c r="K55" s="2" t="s">
        <v>18</v>
      </c>
      <c r="L55" s="2" t="s">
        <v>19</v>
      </c>
      <c r="M55" s="2">
        <f t="shared" si="3"/>
        <v>1</v>
      </c>
      <c r="N55" s="2">
        <f t="shared" si="4"/>
        <v>0</v>
      </c>
      <c r="O55" s="2">
        <f t="shared" si="5"/>
        <v>0</v>
      </c>
      <c r="P55" s="2" t="s">
        <v>37</v>
      </c>
      <c r="Q55" s="2" t="s">
        <v>21</v>
      </c>
    </row>
    <row r="56" spans="1:17">
      <c r="A56" s="1">
        <v>45330</v>
      </c>
      <c r="B56" s="2" t="s">
        <v>29</v>
      </c>
      <c r="C56" s="2" t="s">
        <v>30</v>
      </c>
      <c r="D56" s="2" t="s">
        <v>16</v>
      </c>
      <c r="E56" s="2" t="s">
        <v>17</v>
      </c>
      <c r="F56" s="2">
        <v>8</v>
      </c>
      <c r="G56" s="2">
        <v>307.88</v>
      </c>
      <c r="H56" s="2">
        <v>2463.04</v>
      </c>
      <c r="I56" s="2">
        <v>2423.04</v>
      </c>
      <c r="J56" s="2">
        <v>40</v>
      </c>
      <c r="K56" s="2" t="s">
        <v>25</v>
      </c>
      <c r="L56" s="2" t="s">
        <v>33</v>
      </c>
      <c r="M56" s="2">
        <f t="shared" si="3"/>
        <v>0</v>
      </c>
      <c r="N56" s="2">
        <f t="shared" si="4"/>
        <v>0</v>
      </c>
      <c r="O56" s="2">
        <f t="shared" si="5"/>
        <v>1</v>
      </c>
      <c r="P56" s="2" t="s">
        <v>20</v>
      </c>
      <c r="Q56" s="2" t="s">
        <v>28</v>
      </c>
    </row>
    <row r="57" spans="1:17">
      <c r="A57" s="1">
        <v>45373</v>
      </c>
      <c r="B57" s="2" t="s">
        <v>55</v>
      </c>
      <c r="C57" s="2" t="s">
        <v>44</v>
      </c>
      <c r="D57" s="2" t="s">
        <v>48</v>
      </c>
      <c r="E57" s="2" t="s">
        <v>17</v>
      </c>
      <c r="F57" s="2">
        <v>10</v>
      </c>
      <c r="G57" s="2">
        <v>223.77</v>
      </c>
      <c r="H57" s="2">
        <v>2237.6999999999998</v>
      </c>
      <c r="I57" s="2">
        <v>2177.6999999999998</v>
      </c>
      <c r="J57" s="2">
        <v>60</v>
      </c>
      <c r="K57" s="2" t="s">
        <v>32</v>
      </c>
      <c r="L57" s="2" t="s">
        <v>19</v>
      </c>
      <c r="M57" s="2">
        <f t="shared" si="3"/>
        <v>1</v>
      </c>
      <c r="N57" s="2">
        <f t="shared" si="4"/>
        <v>0</v>
      </c>
      <c r="O57" s="2">
        <f t="shared" si="5"/>
        <v>0</v>
      </c>
      <c r="P57" s="2" t="s">
        <v>27</v>
      </c>
      <c r="Q57" s="2" t="s">
        <v>35</v>
      </c>
    </row>
    <row r="58" spans="1:17">
      <c r="A58" s="1">
        <v>45369</v>
      </c>
      <c r="B58" s="2" t="s">
        <v>59</v>
      </c>
      <c r="C58" s="2" t="s">
        <v>30</v>
      </c>
      <c r="D58" s="2" t="s">
        <v>23</v>
      </c>
      <c r="E58" s="2" t="s">
        <v>46</v>
      </c>
      <c r="F58" s="2">
        <v>5</v>
      </c>
      <c r="G58" s="2">
        <v>83.92</v>
      </c>
      <c r="H58" s="2">
        <v>419.6</v>
      </c>
      <c r="I58" s="2">
        <v>354.1</v>
      </c>
      <c r="J58" s="2">
        <v>65.5</v>
      </c>
      <c r="K58" s="2" t="s">
        <v>18</v>
      </c>
      <c r="L58" s="2" t="s">
        <v>26</v>
      </c>
      <c r="M58" s="2">
        <f t="shared" si="3"/>
        <v>0</v>
      </c>
      <c r="N58" s="2">
        <f t="shared" si="4"/>
        <v>1</v>
      </c>
      <c r="O58" s="2">
        <f t="shared" si="5"/>
        <v>0</v>
      </c>
      <c r="P58" s="2" t="s">
        <v>34</v>
      </c>
      <c r="Q58" s="2" t="s">
        <v>21</v>
      </c>
    </row>
    <row r="59" spans="1:17">
      <c r="A59" s="1">
        <v>45501</v>
      </c>
      <c r="B59" s="2" t="s">
        <v>50</v>
      </c>
      <c r="C59" s="2" t="s">
        <v>40</v>
      </c>
      <c r="D59" s="2" t="s">
        <v>49</v>
      </c>
      <c r="E59" s="2" t="s">
        <v>17</v>
      </c>
      <c r="F59" s="2">
        <v>3</v>
      </c>
      <c r="G59" s="2">
        <v>191.55</v>
      </c>
      <c r="H59" s="2">
        <v>574.65</v>
      </c>
      <c r="I59" s="2">
        <v>525.65</v>
      </c>
      <c r="J59" s="2">
        <v>49</v>
      </c>
      <c r="K59" s="2" t="s">
        <v>25</v>
      </c>
      <c r="L59" s="2" t="s">
        <v>33</v>
      </c>
      <c r="M59" s="2">
        <f t="shared" si="3"/>
        <v>0</v>
      </c>
      <c r="N59" s="2">
        <f t="shared" si="4"/>
        <v>0</v>
      </c>
      <c r="O59" s="2">
        <f t="shared" si="5"/>
        <v>1</v>
      </c>
      <c r="P59" s="2" t="s">
        <v>37</v>
      </c>
      <c r="Q59" s="2" t="s">
        <v>28</v>
      </c>
    </row>
    <row r="60" spans="1:17">
      <c r="A60" s="1">
        <v>45536</v>
      </c>
      <c r="B60" s="2" t="s">
        <v>14</v>
      </c>
      <c r="C60" s="2" t="s">
        <v>15</v>
      </c>
      <c r="D60" s="2" t="s">
        <v>48</v>
      </c>
      <c r="E60" s="2" t="s">
        <v>31</v>
      </c>
      <c r="F60" s="2">
        <v>5</v>
      </c>
      <c r="G60" s="2">
        <v>290.39</v>
      </c>
      <c r="H60" s="2">
        <v>1451.95</v>
      </c>
      <c r="I60" s="2">
        <v>1411.95</v>
      </c>
      <c r="J60" s="2">
        <v>40</v>
      </c>
      <c r="K60" s="2" t="s">
        <v>32</v>
      </c>
      <c r="L60" s="2" t="s">
        <v>19</v>
      </c>
      <c r="M60" s="2">
        <f t="shared" si="3"/>
        <v>1</v>
      </c>
      <c r="N60" s="2">
        <f t="shared" si="4"/>
        <v>0</v>
      </c>
      <c r="O60" s="2">
        <f t="shared" si="5"/>
        <v>0</v>
      </c>
      <c r="P60" s="2" t="s">
        <v>20</v>
      </c>
      <c r="Q60" s="2" t="s">
        <v>35</v>
      </c>
    </row>
    <row r="61" spans="1:17">
      <c r="A61" s="1">
        <v>45510</v>
      </c>
      <c r="B61" s="2" t="s">
        <v>54</v>
      </c>
      <c r="C61" s="2" t="s">
        <v>40</v>
      </c>
      <c r="D61" s="2" t="s">
        <v>16</v>
      </c>
      <c r="E61" s="2" t="s">
        <v>17</v>
      </c>
      <c r="F61" s="2">
        <v>8</v>
      </c>
      <c r="G61" s="2">
        <v>89.62</v>
      </c>
      <c r="H61" s="2">
        <v>716.96</v>
      </c>
      <c r="I61" s="2">
        <v>656.96</v>
      </c>
      <c r="J61" s="2">
        <v>60</v>
      </c>
      <c r="K61" s="2" t="s">
        <v>18</v>
      </c>
      <c r="L61" s="2" t="s">
        <v>26</v>
      </c>
      <c r="M61" s="2">
        <f t="shared" si="3"/>
        <v>0</v>
      </c>
      <c r="N61" s="2">
        <f t="shared" si="4"/>
        <v>1</v>
      </c>
      <c r="O61" s="2">
        <f t="shared" si="5"/>
        <v>0</v>
      </c>
      <c r="P61" s="2" t="s">
        <v>27</v>
      </c>
      <c r="Q61" s="2" t="s">
        <v>21</v>
      </c>
    </row>
    <row r="62" spans="1:17">
      <c r="A62" s="1">
        <v>45543</v>
      </c>
      <c r="B62" s="2" t="s">
        <v>59</v>
      </c>
      <c r="C62" s="2" t="s">
        <v>30</v>
      </c>
      <c r="D62" s="2" t="s">
        <v>49</v>
      </c>
      <c r="E62" s="2" t="s">
        <v>24</v>
      </c>
      <c r="F62" s="2">
        <v>7</v>
      </c>
      <c r="G62" s="2">
        <v>252.53</v>
      </c>
      <c r="H62" s="2">
        <v>1767.71</v>
      </c>
      <c r="I62" s="2">
        <v>1702.21</v>
      </c>
      <c r="J62" s="2">
        <v>65.5</v>
      </c>
      <c r="K62" s="2" t="s">
        <v>25</v>
      </c>
      <c r="L62" s="2" t="s">
        <v>19</v>
      </c>
      <c r="M62" s="2">
        <f t="shared" si="3"/>
        <v>1</v>
      </c>
      <c r="N62" s="2">
        <f t="shared" si="4"/>
        <v>0</v>
      </c>
      <c r="O62" s="2">
        <f t="shared" si="5"/>
        <v>0</v>
      </c>
      <c r="P62" s="2" t="s">
        <v>34</v>
      </c>
      <c r="Q62" s="2" t="s">
        <v>28</v>
      </c>
    </row>
    <row r="63" spans="1:17">
      <c r="A63" s="1">
        <v>45332</v>
      </c>
      <c r="B63" s="2" t="s">
        <v>43</v>
      </c>
      <c r="C63" s="2" t="s">
        <v>44</v>
      </c>
      <c r="D63" s="2" t="s">
        <v>42</v>
      </c>
      <c r="E63" s="2" t="s">
        <v>24</v>
      </c>
      <c r="F63" s="2">
        <v>9</v>
      </c>
      <c r="G63" s="2">
        <v>127.33</v>
      </c>
      <c r="H63" s="2">
        <v>1145.97</v>
      </c>
      <c r="I63" s="2">
        <v>1096.97</v>
      </c>
      <c r="J63" s="2">
        <v>49</v>
      </c>
      <c r="K63" s="2" t="s">
        <v>32</v>
      </c>
      <c r="L63" s="2" t="s">
        <v>33</v>
      </c>
      <c r="M63" s="2">
        <f t="shared" si="3"/>
        <v>0</v>
      </c>
      <c r="N63" s="2">
        <f t="shared" si="4"/>
        <v>0</v>
      </c>
      <c r="O63" s="2">
        <f t="shared" si="5"/>
        <v>1</v>
      </c>
      <c r="P63" s="2" t="s">
        <v>37</v>
      </c>
      <c r="Q63" s="2" t="s">
        <v>35</v>
      </c>
    </row>
    <row r="64" spans="1:17">
      <c r="A64" s="1">
        <v>45537</v>
      </c>
      <c r="B64" s="2" t="s">
        <v>53</v>
      </c>
      <c r="C64" s="2" t="s">
        <v>40</v>
      </c>
      <c r="D64" s="2" t="s">
        <v>49</v>
      </c>
      <c r="E64" s="2" t="s">
        <v>17</v>
      </c>
      <c r="F64" s="2">
        <v>4</v>
      </c>
      <c r="G64" s="2">
        <v>165.21</v>
      </c>
      <c r="H64" s="2">
        <v>660.84</v>
      </c>
      <c r="I64" s="2">
        <v>620.84</v>
      </c>
      <c r="J64" s="2">
        <v>40</v>
      </c>
      <c r="K64" s="2" t="s">
        <v>18</v>
      </c>
      <c r="L64" s="2" t="s">
        <v>19</v>
      </c>
      <c r="M64" s="2">
        <f t="shared" si="3"/>
        <v>1</v>
      </c>
      <c r="N64" s="2">
        <f t="shared" si="4"/>
        <v>0</v>
      </c>
      <c r="O64" s="2">
        <f t="shared" si="5"/>
        <v>0</v>
      </c>
      <c r="P64" s="2" t="s">
        <v>20</v>
      </c>
      <c r="Q64" s="2" t="s">
        <v>21</v>
      </c>
    </row>
    <row r="65" spans="1:17">
      <c r="A65" s="1">
        <v>45325</v>
      </c>
      <c r="B65" s="2" t="s">
        <v>38</v>
      </c>
      <c r="C65" s="2" t="s">
        <v>15</v>
      </c>
      <c r="D65" s="2" t="s">
        <v>16</v>
      </c>
      <c r="E65" s="2" t="s">
        <v>17</v>
      </c>
      <c r="F65" s="2">
        <v>8</v>
      </c>
      <c r="G65" s="2">
        <v>292.8</v>
      </c>
      <c r="H65" s="2">
        <v>2342.4</v>
      </c>
      <c r="I65" s="2">
        <v>2282.4</v>
      </c>
      <c r="J65" s="2">
        <v>60</v>
      </c>
      <c r="K65" s="2" t="s">
        <v>25</v>
      </c>
      <c r="L65" s="2" t="s">
        <v>26</v>
      </c>
      <c r="M65" s="2">
        <f t="shared" si="3"/>
        <v>0</v>
      </c>
      <c r="N65" s="2">
        <f t="shared" si="4"/>
        <v>1</v>
      </c>
      <c r="O65" s="2">
        <f t="shared" si="5"/>
        <v>0</v>
      </c>
      <c r="P65" s="2" t="s">
        <v>27</v>
      </c>
      <c r="Q65" s="2" t="s">
        <v>28</v>
      </c>
    </row>
    <row r="66" spans="1:17">
      <c r="A66" s="1">
        <v>45341</v>
      </c>
      <c r="B66" s="2" t="s">
        <v>29</v>
      </c>
      <c r="C66" s="2" t="s">
        <v>30</v>
      </c>
      <c r="D66" s="2" t="s">
        <v>42</v>
      </c>
      <c r="E66" s="2" t="s">
        <v>24</v>
      </c>
      <c r="F66" s="2">
        <v>1</v>
      </c>
      <c r="G66" s="2">
        <v>327.33</v>
      </c>
      <c r="H66" s="2">
        <v>327.33</v>
      </c>
      <c r="I66" s="2">
        <v>261.83</v>
      </c>
      <c r="J66" s="2">
        <v>65.5</v>
      </c>
      <c r="K66" s="2" t="s">
        <v>32</v>
      </c>
      <c r="L66" s="2" t="s">
        <v>19</v>
      </c>
      <c r="M66" s="2">
        <f t="shared" si="3"/>
        <v>1</v>
      </c>
      <c r="N66" s="2">
        <f t="shared" si="4"/>
        <v>0</v>
      </c>
      <c r="O66" s="2">
        <f t="shared" si="5"/>
        <v>0</v>
      </c>
      <c r="P66" s="2" t="s">
        <v>34</v>
      </c>
      <c r="Q66" s="2" t="s">
        <v>35</v>
      </c>
    </row>
    <row r="67" spans="1:17">
      <c r="A67" s="1">
        <v>45437</v>
      </c>
      <c r="B67" s="2" t="s">
        <v>22</v>
      </c>
      <c r="C67" s="2" t="s">
        <v>15</v>
      </c>
      <c r="D67" s="2" t="s">
        <v>48</v>
      </c>
      <c r="E67" s="2" t="s">
        <v>46</v>
      </c>
      <c r="F67" s="2">
        <v>6</v>
      </c>
      <c r="G67" s="2">
        <v>201.52</v>
      </c>
      <c r="H67" s="2">
        <v>1209.1199999999999</v>
      </c>
      <c r="I67" s="2">
        <v>1160.1199999999999</v>
      </c>
      <c r="J67" s="2">
        <v>49</v>
      </c>
      <c r="K67" s="2" t="s">
        <v>18</v>
      </c>
      <c r="L67" s="2" t="s">
        <v>33</v>
      </c>
      <c r="M67" s="2">
        <f t="shared" si="3"/>
        <v>0</v>
      </c>
      <c r="N67" s="2">
        <f t="shared" si="4"/>
        <v>0</v>
      </c>
      <c r="O67" s="2">
        <f t="shared" si="5"/>
        <v>1</v>
      </c>
      <c r="P67" s="2" t="s">
        <v>37</v>
      </c>
      <c r="Q67" s="2" t="s">
        <v>21</v>
      </c>
    </row>
    <row r="68" spans="1:17">
      <c r="A68" s="1">
        <v>45399</v>
      </c>
      <c r="B68" s="2" t="s">
        <v>14</v>
      </c>
      <c r="C68" s="2" t="s">
        <v>15</v>
      </c>
      <c r="D68" s="2" t="s">
        <v>48</v>
      </c>
      <c r="E68" s="2" t="s">
        <v>31</v>
      </c>
      <c r="F68" s="2">
        <v>3</v>
      </c>
      <c r="G68" s="2">
        <v>487.82</v>
      </c>
      <c r="H68" s="2">
        <v>1463.46</v>
      </c>
      <c r="I68" s="2">
        <v>1423.46</v>
      </c>
      <c r="J68" s="2">
        <v>40</v>
      </c>
      <c r="K68" s="2" t="s">
        <v>25</v>
      </c>
      <c r="L68" s="2" t="s">
        <v>19</v>
      </c>
      <c r="M68" s="2">
        <f t="shared" ref="M68:M99" si="6">IF(L68="Completed",1,0)</f>
        <v>1</v>
      </c>
      <c r="N68" s="2">
        <f t="shared" ref="N68:N99" si="7">IF(L68="Pending",1,0)</f>
        <v>0</v>
      </c>
      <c r="O68" s="2">
        <f t="shared" ref="O68:O99" si="8">IF(L68="Cancelled",1,0)</f>
        <v>0</v>
      </c>
      <c r="P68" s="2" t="s">
        <v>20</v>
      </c>
      <c r="Q68" s="2" t="s">
        <v>28</v>
      </c>
    </row>
    <row r="69" spans="1:17">
      <c r="A69" s="1">
        <v>45563</v>
      </c>
      <c r="B69" s="2" t="s">
        <v>43</v>
      </c>
      <c r="C69" s="2" t="s">
        <v>44</v>
      </c>
      <c r="D69" s="2" t="s">
        <v>48</v>
      </c>
      <c r="E69" s="2" t="s">
        <v>46</v>
      </c>
      <c r="F69" s="2">
        <v>9</v>
      </c>
      <c r="G69" s="2">
        <v>334.1</v>
      </c>
      <c r="H69" s="2">
        <v>3006.9</v>
      </c>
      <c r="I69" s="2">
        <v>2946.9</v>
      </c>
      <c r="J69" s="2">
        <v>60</v>
      </c>
      <c r="K69" s="2" t="s">
        <v>32</v>
      </c>
      <c r="L69" s="2" t="s">
        <v>26</v>
      </c>
      <c r="M69" s="2">
        <f t="shared" si="6"/>
        <v>0</v>
      </c>
      <c r="N69" s="2">
        <f t="shared" si="7"/>
        <v>1</v>
      </c>
      <c r="O69" s="2">
        <f t="shared" si="8"/>
        <v>0</v>
      </c>
      <c r="P69" s="2" t="s">
        <v>27</v>
      </c>
      <c r="Q69" s="2" t="s">
        <v>35</v>
      </c>
    </row>
    <row r="70" spans="1:17">
      <c r="A70" s="1">
        <v>45328</v>
      </c>
      <c r="B70" s="2" t="s">
        <v>36</v>
      </c>
      <c r="C70" s="2" t="s">
        <v>15</v>
      </c>
      <c r="D70" s="2" t="s">
        <v>49</v>
      </c>
      <c r="E70" s="2" t="s">
        <v>31</v>
      </c>
      <c r="F70" s="2">
        <v>10</v>
      </c>
      <c r="G70" s="2">
        <v>88.48</v>
      </c>
      <c r="H70" s="2">
        <v>884.8</v>
      </c>
      <c r="I70" s="2">
        <v>819.3</v>
      </c>
      <c r="J70" s="2">
        <v>65.5</v>
      </c>
      <c r="K70" s="2" t="s">
        <v>18</v>
      </c>
      <c r="L70" s="2" t="s">
        <v>19</v>
      </c>
      <c r="M70" s="2">
        <f t="shared" si="6"/>
        <v>1</v>
      </c>
      <c r="N70" s="2">
        <f t="shared" si="7"/>
        <v>0</v>
      </c>
      <c r="O70" s="2">
        <f t="shared" si="8"/>
        <v>0</v>
      </c>
      <c r="P70" s="2" t="s">
        <v>34</v>
      </c>
      <c r="Q70" s="2" t="s">
        <v>21</v>
      </c>
    </row>
    <row r="71" spans="1:17">
      <c r="A71" s="1">
        <v>45371</v>
      </c>
      <c r="B71" s="2" t="s">
        <v>38</v>
      </c>
      <c r="C71" s="2" t="s">
        <v>15</v>
      </c>
      <c r="D71" s="2" t="s">
        <v>23</v>
      </c>
      <c r="E71" s="2" t="s">
        <v>46</v>
      </c>
      <c r="F71" s="2">
        <v>2</v>
      </c>
      <c r="G71" s="2">
        <v>115.48</v>
      </c>
      <c r="H71" s="2">
        <v>230.96</v>
      </c>
      <c r="I71" s="2">
        <v>181.96</v>
      </c>
      <c r="J71" s="2">
        <v>49</v>
      </c>
      <c r="K71" s="2" t="s">
        <v>25</v>
      </c>
      <c r="L71" s="2" t="s">
        <v>33</v>
      </c>
      <c r="M71" s="2">
        <f t="shared" si="6"/>
        <v>0</v>
      </c>
      <c r="N71" s="2">
        <f t="shared" si="7"/>
        <v>0</v>
      </c>
      <c r="O71" s="2">
        <f t="shared" si="8"/>
        <v>1</v>
      </c>
      <c r="P71" s="2" t="s">
        <v>37</v>
      </c>
      <c r="Q71" s="2" t="s">
        <v>28</v>
      </c>
    </row>
    <row r="72" spans="1:17">
      <c r="A72" s="1">
        <v>45425</v>
      </c>
      <c r="B72" s="2" t="s">
        <v>38</v>
      </c>
      <c r="C72" s="2" t="s">
        <v>15</v>
      </c>
      <c r="D72" s="2" t="s">
        <v>49</v>
      </c>
      <c r="E72" s="2" t="s">
        <v>24</v>
      </c>
      <c r="F72" s="2">
        <v>1</v>
      </c>
      <c r="G72" s="2">
        <v>187.15</v>
      </c>
      <c r="H72" s="2">
        <v>187.15</v>
      </c>
      <c r="I72" s="2">
        <v>147.15</v>
      </c>
      <c r="J72" s="2">
        <v>40</v>
      </c>
      <c r="K72" s="2" t="s">
        <v>32</v>
      </c>
      <c r="L72" s="2" t="s">
        <v>26</v>
      </c>
      <c r="M72" s="2">
        <f t="shared" si="6"/>
        <v>0</v>
      </c>
      <c r="N72" s="2">
        <f t="shared" si="7"/>
        <v>1</v>
      </c>
      <c r="O72" s="2">
        <f t="shared" si="8"/>
        <v>0</v>
      </c>
      <c r="P72" s="2" t="s">
        <v>20</v>
      </c>
      <c r="Q72" s="2" t="s">
        <v>35</v>
      </c>
    </row>
    <row r="73" spans="1:17">
      <c r="A73" s="1">
        <v>45430</v>
      </c>
      <c r="B73" s="2" t="s">
        <v>45</v>
      </c>
      <c r="C73" s="2" t="s">
        <v>44</v>
      </c>
      <c r="D73" s="2" t="s">
        <v>48</v>
      </c>
      <c r="E73" s="2" t="s">
        <v>31</v>
      </c>
      <c r="F73" s="2">
        <v>8</v>
      </c>
      <c r="G73" s="2">
        <v>300.43</v>
      </c>
      <c r="H73" s="2">
        <v>2403.44</v>
      </c>
      <c r="I73" s="2">
        <v>2343.44</v>
      </c>
      <c r="J73" s="2">
        <v>60</v>
      </c>
      <c r="K73" s="2" t="s">
        <v>18</v>
      </c>
      <c r="L73" s="2" t="s">
        <v>19</v>
      </c>
      <c r="M73" s="2">
        <f t="shared" si="6"/>
        <v>1</v>
      </c>
      <c r="N73" s="2">
        <f t="shared" si="7"/>
        <v>0</v>
      </c>
      <c r="O73" s="2">
        <f t="shared" si="8"/>
        <v>0</v>
      </c>
      <c r="P73" s="2" t="s">
        <v>27</v>
      </c>
      <c r="Q73" s="2" t="s">
        <v>21</v>
      </c>
    </row>
    <row r="74" spans="1:17">
      <c r="A74" s="1">
        <v>45295</v>
      </c>
      <c r="B74" s="2" t="s">
        <v>53</v>
      </c>
      <c r="C74" s="2" t="s">
        <v>40</v>
      </c>
      <c r="D74" s="2" t="s">
        <v>42</v>
      </c>
      <c r="E74" s="2" t="s">
        <v>31</v>
      </c>
      <c r="F74" s="2">
        <v>3</v>
      </c>
      <c r="G74" s="2">
        <v>22.62</v>
      </c>
      <c r="H74" s="2">
        <v>67.86</v>
      </c>
      <c r="I74" s="2">
        <v>2.3599999999999994</v>
      </c>
      <c r="J74" s="2">
        <v>65.5</v>
      </c>
      <c r="K74" s="2" t="s">
        <v>25</v>
      </c>
      <c r="L74" s="2" t="s">
        <v>19</v>
      </c>
      <c r="M74" s="2">
        <f t="shared" si="6"/>
        <v>1</v>
      </c>
      <c r="N74" s="2">
        <f t="shared" si="7"/>
        <v>0</v>
      </c>
      <c r="O74" s="2">
        <f t="shared" si="8"/>
        <v>0</v>
      </c>
      <c r="P74" s="2" t="s">
        <v>34</v>
      </c>
      <c r="Q74" s="2" t="s">
        <v>28</v>
      </c>
    </row>
    <row r="75" spans="1:17">
      <c r="A75" s="1">
        <v>45384</v>
      </c>
      <c r="B75" s="2" t="s">
        <v>47</v>
      </c>
      <c r="C75" s="2" t="s">
        <v>44</v>
      </c>
      <c r="D75" s="2" t="s">
        <v>49</v>
      </c>
      <c r="E75" s="2" t="s">
        <v>46</v>
      </c>
      <c r="F75" s="2">
        <v>3</v>
      </c>
      <c r="G75" s="2">
        <v>295.91000000000003</v>
      </c>
      <c r="H75" s="2">
        <v>887.73</v>
      </c>
      <c r="I75" s="2">
        <v>838.73</v>
      </c>
      <c r="J75" s="2">
        <v>49</v>
      </c>
      <c r="K75" s="2" t="s">
        <v>32</v>
      </c>
      <c r="L75" s="2" t="s">
        <v>33</v>
      </c>
      <c r="M75" s="2">
        <f t="shared" si="6"/>
        <v>0</v>
      </c>
      <c r="N75" s="2">
        <f t="shared" si="7"/>
        <v>0</v>
      </c>
      <c r="O75" s="2">
        <f t="shared" si="8"/>
        <v>1</v>
      </c>
      <c r="P75" s="2" t="s">
        <v>37</v>
      </c>
      <c r="Q75" s="2" t="s">
        <v>35</v>
      </c>
    </row>
    <row r="76" spans="1:17">
      <c r="A76" s="1">
        <v>45569</v>
      </c>
      <c r="B76" s="2" t="s">
        <v>43</v>
      </c>
      <c r="C76" s="2" t="s">
        <v>44</v>
      </c>
      <c r="D76" s="2" t="s">
        <v>42</v>
      </c>
      <c r="E76" s="2" t="s">
        <v>17</v>
      </c>
      <c r="F76" s="2">
        <v>3</v>
      </c>
      <c r="G76" s="2">
        <v>183.7</v>
      </c>
      <c r="H76" s="2">
        <v>551.1</v>
      </c>
      <c r="I76" s="2">
        <v>511.1</v>
      </c>
      <c r="J76" s="2">
        <v>40</v>
      </c>
      <c r="K76" s="2" t="s">
        <v>18</v>
      </c>
      <c r="L76" s="2" t="s">
        <v>26</v>
      </c>
      <c r="M76" s="2">
        <f t="shared" si="6"/>
        <v>0</v>
      </c>
      <c r="N76" s="2">
        <f t="shared" si="7"/>
        <v>1</v>
      </c>
      <c r="O76" s="2">
        <f t="shared" si="8"/>
        <v>0</v>
      </c>
      <c r="P76" s="2" t="s">
        <v>20</v>
      </c>
      <c r="Q76" s="2" t="s">
        <v>21</v>
      </c>
    </row>
    <row r="77" spans="1:17">
      <c r="A77" s="1">
        <v>45416</v>
      </c>
      <c r="B77" s="2" t="s">
        <v>47</v>
      </c>
      <c r="C77" s="2" t="s">
        <v>44</v>
      </c>
      <c r="D77" s="2" t="s">
        <v>48</v>
      </c>
      <c r="E77" s="2" t="s">
        <v>24</v>
      </c>
      <c r="F77" s="2">
        <v>3</v>
      </c>
      <c r="G77" s="2">
        <v>269.45999999999998</v>
      </c>
      <c r="H77" s="2">
        <v>808.38</v>
      </c>
      <c r="I77" s="2">
        <v>748.38</v>
      </c>
      <c r="J77" s="2">
        <v>60</v>
      </c>
      <c r="K77" s="2" t="s">
        <v>25</v>
      </c>
      <c r="L77" s="2" t="s">
        <v>19</v>
      </c>
      <c r="M77" s="2">
        <f t="shared" si="6"/>
        <v>1</v>
      </c>
      <c r="N77" s="2">
        <f t="shared" si="7"/>
        <v>0</v>
      </c>
      <c r="O77" s="2">
        <f t="shared" si="8"/>
        <v>0</v>
      </c>
      <c r="P77" s="2" t="s">
        <v>27</v>
      </c>
      <c r="Q77" s="2" t="s">
        <v>28</v>
      </c>
    </row>
    <row r="78" spans="1:17">
      <c r="A78" s="1">
        <v>45486</v>
      </c>
      <c r="B78" s="2" t="s">
        <v>47</v>
      </c>
      <c r="C78" s="2" t="s">
        <v>44</v>
      </c>
      <c r="D78" s="2" t="s">
        <v>23</v>
      </c>
      <c r="E78" s="2" t="s">
        <v>17</v>
      </c>
      <c r="F78" s="2">
        <v>4</v>
      </c>
      <c r="G78" s="2">
        <v>211.28</v>
      </c>
      <c r="H78" s="2">
        <v>845.12</v>
      </c>
      <c r="I78" s="2">
        <v>779.62</v>
      </c>
      <c r="J78" s="2">
        <v>65.5</v>
      </c>
      <c r="K78" s="2" t="s">
        <v>32</v>
      </c>
      <c r="L78" s="2" t="s">
        <v>26</v>
      </c>
      <c r="M78" s="2">
        <f t="shared" si="6"/>
        <v>0</v>
      </c>
      <c r="N78" s="2">
        <f t="shared" si="7"/>
        <v>1</v>
      </c>
      <c r="O78" s="2">
        <f t="shared" si="8"/>
        <v>0</v>
      </c>
      <c r="P78" s="2" t="s">
        <v>34</v>
      </c>
      <c r="Q78" s="2" t="s">
        <v>35</v>
      </c>
    </row>
    <row r="79" spans="1:17">
      <c r="A79" s="1">
        <v>45490</v>
      </c>
      <c r="B79" s="2" t="s">
        <v>22</v>
      </c>
      <c r="C79" s="2" t="s">
        <v>15</v>
      </c>
      <c r="D79" s="2" t="s">
        <v>42</v>
      </c>
      <c r="E79" s="2" t="s">
        <v>24</v>
      </c>
      <c r="F79" s="2">
        <v>5</v>
      </c>
      <c r="G79" s="2">
        <v>362.47</v>
      </c>
      <c r="H79" s="2">
        <v>1812.35</v>
      </c>
      <c r="I79" s="2">
        <v>1763.35</v>
      </c>
      <c r="J79" s="2">
        <v>49</v>
      </c>
      <c r="K79" s="2" t="s">
        <v>18</v>
      </c>
      <c r="L79" s="2" t="s">
        <v>19</v>
      </c>
      <c r="M79" s="2">
        <f t="shared" si="6"/>
        <v>1</v>
      </c>
      <c r="N79" s="2">
        <f t="shared" si="7"/>
        <v>0</v>
      </c>
      <c r="O79" s="2">
        <f t="shared" si="8"/>
        <v>0</v>
      </c>
      <c r="P79" s="2" t="s">
        <v>37</v>
      </c>
      <c r="Q79" s="2" t="s">
        <v>21</v>
      </c>
    </row>
    <row r="80" spans="1:17">
      <c r="A80" s="1">
        <v>45318</v>
      </c>
      <c r="B80" s="2" t="s">
        <v>51</v>
      </c>
      <c r="C80" s="2" t="s">
        <v>52</v>
      </c>
      <c r="D80" s="2" t="s">
        <v>48</v>
      </c>
      <c r="E80" s="2" t="s">
        <v>46</v>
      </c>
      <c r="F80" s="2">
        <v>8</v>
      </c>
      <c r="G80" s="2">
        <v>259.56</v>
      </c>
      <c r="H80" s="2">
        <v>2076.48</v>
      </c>
      <c r="I80" s="2">
        <v>2036.48</v>
      </c>
      <c r="J80" s="2">
        <v>40</v>
      </c>
      <c r="K80" s="2" t="s">
        <v>25</v>
      </c>
      <c r="L80" s="2" t="s">
        <v>19</v>
      </c>
      <c r="M80" s="2">
        <f t="shared" si="6"/>
        <v>1</v>
      </c>
      <c r="N80" s="2">
        <f t="shared" si="7"/>
        <v>0</v>
      </c>
      <c r="O80" s="2">
        <f t="shared" si="8"/>
        <v>0</v>
      </c>
      <c r="P80" s="2" t="s">
        <v>20</v>
      </c>
      <c r="Q80" s="2" t="s">
        <v>28</v>
      </c>
    </row>
    <row r="81" spans="1:17">
      <c r="A81" s="1">
        <v>45330</v>
      </c>
      <c r="B81" s="2" t="s">
        <v>22</v>
      </c>
      <c r="C81" s="2" t="s">
        <v>15</v>
      </c>
      <c r="D81" s="2" t="s">
        <v>42</v>
      </c>
      <c r="E81" s="2" t="s">
        <v>46</v>
      </c>
      <c r="F81" s="2">
        <v>1</v>
      </c>
      <c r="G81" s="2">
        <v>134.63</v>
      </c>
      <c r="H81" s="2">
        <v>134.63</v>
      </c>
      <c r="I81" s="2">
        <v>74.63</v>
      </c>
      <c r="J81" s="2">
        <v>60</v>
      </c>
      <c r="K81" s="2" t="s">
        <v>32</v>
      </c>
      <c r="L81" s="2" t="s">
        <v>33</v>
      </c>
      <c r="M81" s="2">
        <f t="shared" si="6"/>
        <v>0</v>
      </c>
      <c r="N81" s="2">
        <f t="shared" si="7"/>
        <v>0</v>
      </c>
      <c r="O81" s="2">
        <f t="shared" si="8"/>
        <v>1</v>
      </c>
      <c r="P81" s="2" t="s">
        <v>27</v>
      </c>
      <c r="Q81" s="2" t="s">
        <v>35</v>
      </c>
    </row>
    <row r="82" spans="1:17">
      <c r="A82" s="1">
        <v>45351</v>
      </c>
      <c r="B82" s="2" t="s">
        <v>47</v>
      </c>
      <c r="C82" s="2" t="s">
        <v>44</v>
      </c>
      <c r="D82" s="2" t="s">
        <v>48</v>
      </c>
      <c r="E82" s="2" t="s">
        <v>24</v>
      </c>
      <c r="F82" s="2">
        <v>10</v>
      </c>
      <c r="G82" s="2">
        <v>272.01</v>
      </c>
      <c r="H82" s="2">
        <v>2720.1</v>
      </c>
      <c r="I82" s="2">
        <v>2654.6</v>
      </c>
      <c r="J82" s="2">
        <v>65.5</v>
      </c>
      <c r="K82" s="2" t="s">
        <v>18</v>
      </c>
      <c r="L82" s="2" t="s">
        <v>26</v>
      </c>
      <c r="M82" s="2">
        <f t="shared" si="6"/>
        <v>0</v>
      </c>
      <c r="N82" s="2">
        <f t="shared" si="7"/>
        <v>1</v>
      </c>
      <c r="O82" s="2">
        <f t="shared" si="8"/>
        <v>0</v>
      </c>
      <c r="P82" s="2" t="s">
        <v>34</v>
      </c>
      <c r="Q82" s="2" t="s">
        <v>21</v>
      </c>
    </row>
    <row r="83" spans="1:17">
      <c r="A83" s="1">
        <v>45473</v>
      </c>
      <c r="B83" s="2" t="s">
        <v>39</v>
      </c>
      <c r="C83" s="2" t="s">
        <v>40</v>
      </c>
      <c r="D83" s="2" t="s">
        <v>48</v>
      </c>
      <c r="E83" s="2" t="s">
        <v>46</v>
      </c>
      <c r="F83" s="2">
        <v>4</v>
      </c>
      <c r="G83" s="2">
        <v>265.89</v>
      </c>
      <c r="H83" s="2">
        <v>1063.56</v>
      </c>
      <c r="I83" s="2">
        <v>1014.56</v>
      </c>
      <c r="J83" s="2">
        <v>49</v>
      </c>
      <c r="K83" s="2" t="s">
        <v>25</v>
      </c>
      <c r="L83" s="2" t="s">
        <v>19</v>
      </c>
      <c r="M83" s="2">
        <f t="shared" si="6"/>
        <v>1</v>
      </c>
      <c r="N83" s="2">
        <f t="shared" si="7"/>
        <v>0</v>
      </c>
      <c r="O83" s="2">
        <f t="shared" si="8"/>
        <v>0</v>
      </c>
      <c r="P83" s="2" t="s">
        <v>37</v>
      </c>
      <c r="Q83" s="2" t="s">
        <v>28</v>
      </c>
    </row>
    <row r="84" spans="1:17">
      <c r="A84" s="1">
        <v>45558</v>
      </c>
      <c r="B84" s="2" t="s">
        <v>43</v>
      </c>
      <c r="C84" s="2" t="s">
        <v>44</v>
      </c>
      <c r="D84" s="2" t="s">
        <v>16</v>
      </c>
      <c r="E84" s="2" t="s">
        <v>24</v>
      </c>
      <c r="F84" s="2">
        <v>4</v>
      </c>
      <c r="G84" s="2">
        <v>327.41000000000003</v>
      </c>
      <c r="H84" s="2">
        <v>1309.6400000000001</v>
      </c>
      <c r="I84" s="2">
        <v>1269.6400000000001</v>
      </c>
      <c r="J84" s="2">
        <v>40</v>
      </c>
      <c r="K84" s="2" t="s">
        <v>32</v>
      </c>
      <c r="L84" s="2" t="s">
        <v>19</v>
      </c>
      <c r="M84" s="2">
        <f t="shared" si="6"/>
        <v>1</v>
      </c>
      <c r="N84" s="2">
        <f t="shared" si="7"/>
        <v>0</v>
      </c>
      <c r="O84" s="2">
        <f t="shared" si="8"/>
        <v>0</v>
      </c>
      <c r="P84" s="2" t="s">
        <v>20</v>
      </c>
      <c r="Q84" s="2" t="s">
        <v>35</v>
      </c>
    </row>
    <row r="85" spans="1:17">
      <c r="A85" s="1">
        <v>45309</v>
      </c>
      <c r="B85" s="2" t="s">
        <v>41</v>
      </c>
      <c r="C85" s="2" t="s">
        <v>30</v>
      </c>
      <c r="D85" s="2" t="s">
        <v>16</v>
      </c>
      <c r="E85" s="2" t="s">
        <v>17</v>
      </c>
      <c r="F85" s="2">
        <v>2</v>
      </c>
      <c r="G85" s="2">
        <v>395.91</v>
      </c>
      <c r="H85" s="2">
        <v>791.82</v>
      </c>
      <c r="I85" s="2">
        <v>731.82</v>
      </c>
      <c r="J85" s="2">
        <v>60</v>
      </c>
      <c r="K85" s="2" t="s">
        <v>18</v>
      </c>
      <c r="L85" s="2" t="s">
        <v>33</v>
      </c>
      <c r="M85" s="2">
        <f t="shared" si="6"/>
        <v>0</v>
      </c>
      <c r="N85" s="2">
        <f t="shared" si="7"/>
        <v>0</v>
      </c>
      <c r="O85" s="2">
        <f t="shared" si="8"/>
        <v>1</v>
      </c>
      <c r="P85" s="2" t="s">
        <v>27</v>
      </c>
      <c r="Q85" s="2" t="s">
        <v>21</v>
      </c>
    </row>
    <row r="86" spans="1:17">
      <c r="A86" s="1">
        <v>45421</v>
      </c>
      <c r="B86" s="2" t="s">
        <v>45</v>
      </c>
      <c r="C86" s="2" t="s">
        <v>44</v>
      </c>
      <c r="D86" s="2" t="s">
        <v>23</v>
      </c>
      <c r="E86" s="2" t="s">
        <v>24</v>
      </c>
      <c r="F86" s="2">
        <v>10</v>
      </c>
      <c r="G86" s="2">
        <v>66.56</v>
      </c>
      <c r="H86" s="2">
        <v>665.6</v>
      </c>
      <c r="I86" s="2">
        <v>600.1</v>
      </c>
      <c r="J86" s="2">
        <v>65.5</v>
      </c>
      <c r="K86" s="2" t="s">
        <v>25</v>
      </c>
      <c r="L86" s="2" t="s">
        <v>26</v>
      </c>
      <c r="M86" s="2">
        <f t="shared" si="6"/>
        <v>0</v>
      </c>
      <c r="N86" s="2">
        <f t="shared" si="7"/>
        <v>1</v>
      </c>
      <c r="O86" s="2">
        <f t="shared" si="8"/>
        <v>0</v>
      </c>
      <c r="P86" s="2" t="s">
        <v>34</v>
      </c>
      <c r="Q86" s="2" t="s">
        <v>28</v>
      </c>
    </row>
    <row r="87" spans="1:17">
      <c r="A87" s="1">
        <v>45469</v>
      </c>
      <c r="B87" s="2" t="s">
        <v>39</v>
      </c>
      <c r="C87" s="2" t="s">
        <v>40</v>
      </c>
      <c r="D87" s="2" t="s">
        <v>48</v>
      </c>
      <c r="E87" s="2" t="s">
        <v>31</v>
      </c>
      <c r="F87" s="2">
        <v>5</v>
      </c>
      <c r="G87" s="2">
        <v>432.3</v>
      </c>
      <c r="H87" s="2">
        <v>2161.5</v>
      </c>
      <c r="I87" s="2">
        <v>2112.5</v>
      </c>
      <c r="J87" s="2">
        <v>49</v>
      </c>
      <c r="K87" s="2" t="s">
        <v>32</v>
      </c>
      <c r="L87" s="2" t="s">
        <v>19</v>
      </c>
      <c r="M87" s="2">
        <f t="shared" si="6"/>
        <v>1</v>
      </c>
      <c r="N87" s="2">
        <f t="shared" si="7"/>
        <v>0</v>
      </c>
      <c r="O87" s="2">
        <f t="shared" si="8"/>
        <v>0</v>
      </c>
      <c r="P87" s="2" t="s">
        <v>37</v>
      </c>
      <c r="Q87" s="2" t="s">
        <v>35</v>
      </c>
    </row>
    <row r="88" spans="1:17">
      <c r="A88" s="1">
        <v>45549</v>
      </c>
      <c r="B88" s="2" t="s">
        <v>38</v>
      </c>
      <c r="C88" s="2" t="s">
        <v>15</v>
      </c>
      <c r="D88" s="2" t="s">
        <v>42</v>
      </c>
      <c r="E88" s="2" t="s">
        <v>31</v>
      </c>
      <c r="F88" s="2">
        <v>7</v>
      </c>
      <c r="G88" s="2">
        <v>272.05</v>
      </c>
      <c r="H88" s="2">
        <v>1904.35</v>
      </c>
      <c r="I88" s="2">
        <v>1864.35</v>
      </c>
      <c r="J88" s="2">
        <v>40</v>
      </c>
      <c r="K88" s="2" t="s">
        <v>18</v>
      </c>
      <c r="L88" s="2" t="s">
        <v>19</v>
      </c>
      <c r="M88" s="2">
        <f t="shared" si="6"/>
        <v>1</v>
      </c>
      <c r="N88" s="2">
        <f t="shared" si="7"/>
        <v>0</v>
      </c>
      <c r="O88" s="2">
        <f t="shared" si="8"/>
        <v>0</v>
      </c>
      <c r="P88" s="2" t="s">
        <v>20</v>
      </c>
      <c r="Q88" s="2" t="s">
        <v>21</v>
      </c>
    </row>
    <row r="89" spans="1:17">
      <c r="A89" s="1">
        <v>45484</v>
      </c>
      <c r="B89" s="2" t="s">
        <v>41</v>
      </c>
      <c r="C89" s="2" t="s">
        <v>30</v>
      </c>
      <c r="D89" s="2" t="s">
        <v>48</v>
      </c>
      <c r="E89" s="2" t="s">
        <v>46</v>
      </c>
      <c r="F89" s="2">
        <v>7</v>
      </c>
      <c r="G89" s="2">
        <v>301.27999999999997</v>
      </c>
      <c r="H89" s="2">
        <v>2108.96</v>
      </c>
      <c r="I89" s="2">
        <v>2048.96</v>
      </c>
      <c r="J89" s="2">
        <v>60</v>
      </c>
      <c r="K89" s="2" t="s">
        <v>25</v>
      </c>
      <c r="L89" s="2" t="s">
        <v>33</v>
      </c>
      <c r="M89" s="2">
        <f t="shared" si="6"/>
        <v>0</v>
      </c>
      <c r="N89" s="2">
        <f t="shared" si="7"/>
        <v>0</v>
      </c>
      <c r="O89" s="2">
        <f t="shared" si="8"/>
        <v>1</v>
      </c>
      <c r="P89" s="2" t="s">
        <v>27</v>
      </c>
      <c r="Q89" s="2" t="s">
        <v>28</v>
      </c>
    </row>
    <row r="90" spans="1:17">
      <c r="A90" s="1">
        <v>45450</v>
      </c>
      <c r="B90" s="2" t="s">
        <v>38</v>
      </c>
      <c r="C90" s="2" t="s">
        <v>15</v>
      </c>
      <c r="D90" s="2" t="s">
        <v>42</v>
      </c>
      <c r="E90" s="2" t="s">
        <v>17</v>
      </c>
      <c r="F90" s="2">
        <v>9</v>
      </c>
      <c r="G90" s="2">
        <v>23.52</v>
      </c>
      <c r="H90" s="2">
        <v>211.68</v>
      </c>
      <c r="I90" s="2">
        <v>146.18</v>
      </c>
      <c r="J90" s="2">
        <v>65.5</v>
      </c>
      <c r="K90" s="2" t="s">
        <v>32</v>
      </c>
      <c r="L90" s="2" t="s">
        <v>19</v>
      </c>
      <c r="M90" s="2">
        <f t="shared" si="6"/>
        <v>1</v>
      </c>
      <c r="N90" s="2">
        <f t="shared" si="7"/>
        <v>0</v>
      </c>
      <c r="O90" s="2">
        <f t="shared" si="8"/>
        <v>0</v>
      </c>
      <c r="P90" s="2" t="s">
        <v>34</v>
      </c>
      <c r="Q90" s="2" t="s">
        <v>35</v>
      </c>
    </row>
    <row r="91" spans="1:17">
      <c r="A91" s="1">
        <v>45491</v>
      </c>
      <c r="B91" s="2" t="s">
        <v>58</v>
      </c>
      <c r="C91" s="2" t="s">
        <v>52</v>
      </c>
      <c r="D91" s="2" t="s">
        <v>23</v>
      </c>
      <c r="E91" s="2" t="s">
        <v>17</v>
      </c>
      <c r="F91" s="2">
        <v>6</v>
      </c>
      <c r="G91" s="2">
        <v>281.85000000000002</v>
      </c>
      <c r="H91" s="2">
        <v>1691.1</v>
      </c>
      <c r="I91" s="2">
        <v>1642.1</v>
      </c>
      <c r="J91" s="2">
        <v>49</v>
      </c>
      <c r="K91" s="2" t="s">
        <v>18</v>
      </c>
      <c r="L91" s="2" t="s">
        <v>26</v>
      </c>
      <c r="M91" s="2">
        <f t="shared" si="6"/>
        <v>0</v>
      </c>
      <c r="N91" s="2">
        <f t="shared" si="7"/>
        <v>1</v>
      </c>
      <c r="O91" s="2">
        <f t="shared" si="8"/>
        <v>0</v>
      </c>
      <c r="P91" s="2" t="s">
        <v>37</v>
      </c>
      <c r="Q91" s="2" t="s">
        <v>21</v>
      </c>
    </row>
    <row r="92" spans="1:17">
      <c r="A92" s="1">
        <v>45489</v>
      </c>
      <c r="B92" s="2" t="s">
        <v>14</v>
      </c>
      <c r="C92" s="2" t="s">
        <v>15</v>
      </c>
      <c r="D92" s="2" t="s">
        <v>48</v>
      </c>
      <c r="E92" s="2" t="s">
        <v>31</v>
      </c>
      <c r="F92" s="2">
        <v>6</v>
      </c>
      <c r="G92" s="2">
        <v>157.88</v>
      </c>
      <c r="H92" s="2">
        <v>947.28</v>
      </c>
      <c r="I92" s="2">
        <v>907.28</v>
      </c>
      <c r="J92" s="2">
        <v>40</v>
      </c>
      <c r="K92" s="2" t="s">
        <v>25</v>
      </c>
      <c r="L92" s="2" t="s">
        <v>33</v>
      </c>
      <c r="M92" s="2">
        <f t="shared" si="6"/>
        <v>0</v>
      </c>
      <c r="N92" s="2">
        <f t="shared" si="7"/>
        <v>0</v>
      </c>
      <c r="O92" s="2">
        <f t="shared" si="8"/>
        <v>1</v>
      </c>
      <c r="P92" s="2" t="s">
        <v>20</v>
      </c>
      <c r="Q92" s="2" t="s">
        <v>28</v>
      </c>
    </row>
    <row r="93" spans="1:17">
      <c r="A93" s="1">
        <v>45566</v>
      </c>
      <c r="B93" s="2" t="s">
        <v>58</v>
      </c>
      <c r="C93" s="2" t="s">
        <v>52</v>
      </c>
      <c r="D93" s="2" t="s">
        <v>23</v>
      </c>
      <c r="E93" s="2" t="s">
        <v>17</v>
      </c>
      <c r="F93" s="2">
        <v>7</v>
      </c>
      <c r="G93" s="2">
        <v>98.66</v>
      </c>
      <c r="H93" s="2">
        <v>690.62</v>
      </c>
      <c r="I93" s="2">
        <v>630.62</v>
      </c>
      <c r="J93" s="2">
        <v>60</v>
      </c>
      <c r="K93" s="2" t="s">
        <v>32</v>
      </c>
      <c r="L93" s="2" t="s">
        <v>19</v>
      </c>
      <c r="M93" s="2">
        <f t="shared" si="6"/>
        <v>1</v>
      </c>
      <c r="N93" s="2">
        <f t="shared" si="7"/>
        <v>0</v>
      </c>
      <c r="O93" s="2">
        <f t="shared" si="8"/>
        <v>0</v>
      </c>
      <c r="P93" s="2" t="s">
        <v>27</v>
      </c>
      <c r="Q93" s="2" t="s">
        <v>35</v>
      </c>
    </row>
    <row r="94" spans="1:17">
      <c r="A94" s="1">
        <v>45359</v>
      </c>
      <c r="B94" s="2" t="s">
        <v>58</v>
      </c>
      <c r="C94" s="2" t="s">
        <v>52</v>
      </c>
      <c r="D94" s="2" t="s">
        <v>42</v>
      </c>
      <c r="E94" s="2" t="s">
        <v>31</v>
      </c>
      <c r="F94" s="2">
        <v>2</v>
      </c>
      <c r="G94" s="2">
        <v>37.119999999999997</v>
      </c>
      <c r="H94" s="2">
        <v>74.239999999999995</v>
      </c>
      <c r="I94" s="2">
        <v>8.7399999999999949</v>
      </c>
      <c r="J94" s="2">
        <v>65.5</v>
      </c>
      <c r="K94" s="2" t="s">
        <v>18</v>
      </c>
      <c r="L94" s="2" t="s">
        <v>26</v>
      </c>
      <c r="M94" s="2">
        <f t="shared" si="6"/>
        <v>0</v>
      </c>
      <c r="N94" s="2">
        <f t="shared" si="7"/>
        <v>1</v>
      </c>
      <c r="O94" s="2">
        <f t="shared" si="8"/>
        <v>0</v>
      </c>
      <c r="P94" s="2" t="s">
        <v>34</v>
      </c>
      <c r="Q94" s="2" t="s">
        <v>21</v>
      </c>
    </row>
    <row r="95" spans="1:17">
      <c r="A95" s="1">
        <v>45561</v>
      </c>
      <c r="B95" s="2" t="s">
        <v>53</v>
      </c>
      <c r="C95" s="2" t="s">
        <v>40</v>
      </c>
      <c r="D95" s="2" t="s">
        <v>42</v>
      </c>
      <c r="E95" s="2" t="s">
        <v>17</v>
      </c>
      <c r="F95" s="2">
        <v>9</v>
      </c>
      <c r="G95" s="2">
        <v>191.38</v>
      </c>
      <c r="H95" s="2">
        <v>1722.42</v>
      </c>
      <c r="I95" s="2">
        <v>1673.42</v>
      </c>
      <c r="J95" s="2">
        <v>49</v>
      </c>
      <c r="K95" s="2" t="s">
        <v>25</v>
      </c>
      <c r="L95" s="2" t="s">
        <v>33</v>
      </c>
      <c r="M95" s="2">
        <f t="shared" si="6"/>
        <v>0</v>
      </c>
      <c r="N95" s="2">
        <f t="shared" si="7"/>
        <v>0</v>
      </c>
      <c r="O95" s="2">
        <f t="shared" si="8"/>
        <v>1</v>
      </c>
      <c r="P95" s="2" t="s">
        <v>37</v>
      </c>
      <c r="Q95" s="2" t="s">
        <v>28</v>
      </c>
    </row>
    <row r="96" spans="1:17">
      <c r="A96" s="1">
        <v>45403</v>
      </c>
      <c r="B96" s="2" t="s">
        <v>50</v>
      </c>
      <c r="C96" s="2" t="s">
        <v>40</v>
      </c>
      <c r="D96" s="2" t="s">
        <v>48</v>
      </c>
      <c r="E96" s="2" t="s">
        <v>24</v>
      </c>
      <c r="F96" s="2">
        <v>2</v>
      </c>
      <c r="G96" s="2">
        <v>301.12</v>
      </c>
      <c r="H96" s="2">
        <v>602.24</v>
      </c>
      <c r="I96" s="2">
        <v>562.24</v>
      </c>
      <c r="J96" s="2">
        <v>40</v>
      </c>
      <c r="K96" s="2" t="s">
        <v>32</v>
      </c>
      <c r="L96" s="2" t="s">
        <v>19</v>
      </c>
      <c r="M96" s="2">
        <f t="shared" si="6"/>
        <v>1</v>
      </c>
      <c r="N96" s="2">
        <f t="shared" si="7"/>
        <v>0</v>
      </c>
      <c r="O96" s="2">
        <f t="shared" si="8"/>
        <v>0</v>
      </c>
      <c r="P96" s="2" t="s">
        <v>20</v>
      </c>
      <c r="Q96" s="2" t="s">
        <v>35</v>
      </c>
    </row>
    <row r="97" spans="1:17">
      <c r="A97" s="1">
        <v>45537</v>
      </c>
      <c r="B97" s="2" t="s">
        <v>56</v>
      </c>
      <c r="C97" s="2" t="s">
        <v>52</v>
      </c>
      <c r="D97" s="2" t="s">
        <v>49</v>
      </c>
      <c r="E97" s="2" t="s">
        <v>46</v>
      </c>
      <c r="F97" s="2">
        <v>4</v>
      </c>
      <c r="G97" s="2">
        <v>415.24</v>
      </c>
      <c r="H97" s="2">
        <v>1660.96</v>
      </c>
      <c r="I97" s="2">
        <v>1600.96</v>
      </c>
      <c r="J97" s="2">
        <v>60</v>
      </c>
      <c r="K97" s="2" t="s">
        <v>18</v>
      </c>
      <c r="L97" s="2" t="s">
        <v>19</v>
      </c>
      <c r="M97" s="2">
        <f t="shared" si="6"/>
        <v>1</v>
      </c>
      <c r="N97" s="2">
        <f t="shared" si="7"/>
        <v>0</v>
      </c>
      <c r="O97" s="2">
        <f t="shared" si="8"/>
        <v>0</v>
      </c>
      <c r="P97" s="2" t="s">
        <v>27</v>
      </c>
      <c r="Q97" s="2" t="s">
        <v>21</v>
      </c>
    </row>
    <row r="98" spans="1:17">
      <c r="A98" s="1">
        <v>45321</v>
      </c>
      <c r="B98" s="2" t="s">
        <v>50</v>
      </c>
      <c r="C98" s="2" t="s">
        <v>40</v>
      </c>
      <c r="D98" s="2" t="s">
        <v>42</v>
      </c>
      <c r="E98" s="2" t="s">
        <v>17</v>
      </c>
      <c r="F98" s="2">
        <v>3</v>
      </c>
      <c r="G98" s="2">
        <v>115.83</v>
      </c>
      <c r="H98" s="2">
        <v>347.49</v>
      </c>
      <c r="I98" s="2">
        <v>281.99</v>
      </c>
      <c r="J98" s="2">
        <v>65.5</v>
      </c>
      <c r="K98" s="2" t="s">
        <v>25</v>
      </c>
      <c r="L98" s="2" t="s">
        <v>26</v>
      </c>
      <c r="M98" s="2">
        <f t="shared" si="6"/>
        <v>0</v>
      </c>
      <c r="N98" s="2">
        <f t="shared" si="7"/>
        <v>1</v>
      </c>
      <c r="O98" s="2">
        <f t="shared" si="8"/>
        <v>0</v>
      </c>
      <c r="P98" s="2" t="s">
        <v>34</v>
      </c>
      <c r="Q98" s="2" t="s">
        <v>28</v>
      </c>
    </row>
    <row r="99" spans="1:17">
      <c r="A99" s="1">
        <v>45311</v>
      </c>
      <c r="B99" s="2" t="s">
        <v>59</v>
      </c>
      <c r="C99" s="2" t="s">
        <v>30</v>
      </c>
      <c r="D99" s="2" t="s">
        <v>42</v>
      </c>
      <c r="E99" s="2" t="s">
        <v>46</v>
      </c>
      <c r="F99" s="2">
        <v>6</v>
      </c>
      <c r="G99" s="2">
        <v>229.86</v>
      </c>
      <c r="H99" s="2">
        <v>1379.16</v>
      </c>
      <c r="I99" s="2">
        <v>1330.16</v>
      </c>
      <c r="J99" s="2">
        <v>49</v>
      </c>
      <c r="K99" s="2" t="s">
        <v>32</v>
      </c>
      <c r="L99" s="2" t="s">
        <v>19</v>
      </c>
      <c r="M99" s="2">
        <f t="shared" si="6"/>
        <v>1</v>
      </c>
      <c r="N99" s="2">
        <f t="shared" si="7"/>
        <v>0</v>
      </c>
      <c r="O99" s="2">
        <f t="shared" si="8"/>
        <v>0</v>
      </c>
      <c r="P99" s="2" t="s">
        <v>37</v>
      </c>
      <c r="Q99" s="2" t="s">
        <v>35</v>
      </c>
    </row>
    <row r="100" spans="1:17">
      <c r="A100" s="1">
        <v>45552</v>
      </c>
      <c r="B100" s="2" t="s">
        <v>45</v>
      </c>
      <c r="C100" s="2" t="s">
        <v>44</v>
      </c>
      <c r="D100" s="2" t="s">
        <v>48</v>
      </c>
      <c r="E100" s="2" t="s">
        <v>31</v>
      </c>
      <c r="F100" s="2">
        <v>10</v>
      </c>
      <c r="G100" s="2">
        <v>98.84</v>
      </c>
      <c r="H100" s="2">
        <v>988.4</v>
      </c>
      <c r="I100" s="2">
        <v>948.4</v>
      </c>
      <c r="J100" s="2">
        <v>40</v>
      </c>
      <c r="K100" s="2" t="s">
        <v>18</v>
      </c>
      <c r="L100" s="2" t="s">
        <v>33</v>
      </c>
      <c r="M100" s="2">
        <f t="shared" ref="M100:M131" si="9">IF(L100="Completed",1,0)</f>
        <v>0</v>
      </c>
      <c r="N100" s="2">
        <f t="shared" ref="N100:N131" si="10">IF(L100="Pending",1,0)</f>
        <v>0</v>
      </c>
      <c r="O100" s="2">
        <f t="shared" ref="O100:O131" si="11">IF(L100="Cancelled",1,0)</f>
        <v>1</v>
      </c>
      <c r="P100" s="2" t="s">
        <v>20</v>
      </c>
      <c r="Q100" s="2" t="s">
        <v>21</v>
      </c>
    </row>
    <row r="101" spans="1:17">
      <c r="A101" s="1">
        <v>45538</v>
      </c>
      <c r="B101" s="2" t="s">
        <v>60</v>
      </c>
      <c r="C101" s="2" t="s">
        <v>52</v>
      </c>
      <c r="D101" s="2" t="s">
        <v>48</v>
      </c>
      <c r="E101" s="2" t="s">
        <v>24</v>
      </c>
      <c r="F101" s="2">
        <v>10</v>
      </c>
      <c r="G101" s="2">
        <v>200.83</v>
      </c>
      <c r="H101" s="2">
        <v>2008.3</v>
      </c>
      <c r="I101" s="2">
        <v>1948.3</v>
      </c>
      <c r="J101" s="2">
        <v>60</v>
      </c>
      <c r="K101" s="2" t="s">
        <v>25</v>
      </c>
      <c r="L101" s="2" t="s">
        <v>26</v>
      </c>
      <c r="M101" s="2">
        <f t="shared" si="9"/>
        <v>0</v>
      </c>
      <c r="N101" s="2">
        <f t="shared" si="10"/>
        <v>1</v>
      </c>
      <c r="O101" s="2">
        <f t="shared" si="11"/>
        <v>0</v>
      </c>
      <c r="P101" s="2" t="s">
        <v>27</v>
      </c>
      <c r="Q101" s="2" t="s">
        <v>28</v>
      </c>
    </row>
    <row r="102" spans="1:17">
      <c r="A102" s="1">
        <v>45633</v>
      </c>
      <c r="B102" s="2" t="s">
        <v>38</v>
      </c>
      <c r="C102" s="2" t="s">
        <v>15</v>
      </c>
      <c r="D102" s="2" t="s">
        <v>23</v>
      </c>
      <c r="E102" s="2" t="s">
        <v>46</v>
      </c>
      <c r="F102" s="2">
        <v>1</v>
      </c>
      <c r="G102" s="2">
        <v>310.54000000000002</v>
      </c>
      <c r="H102" s="2">
        <v>310.54000000000002</v>
      </c>
      <c r="I102" s="2">
        <v>245.04000000000002</v>
      </c>
      <c r="J102" s="2">
        <v>65.5</v>
      </c>
      <c r="K102" s="2" t="s">
        <v>32</v>
      </c>
      <c r="L102" s="2" t="s">
        <v>19</v>
      </c>
      <c r="M102" s="2">
        <f t="shared" si="9"/>
        <v>1</v>
      </c>
      <c r="N102" s="2">
        <f t="shared" si="10"/>
        <v>0</v>
      </c>
      <c r="O102" s="2">
        <f t="shared" si="11"/>
        <v>0</v>
      </c>
      <c r="P102" s="2" t="s">
        <v>34</v>
      </c>
      <c r="Q102" s="2" t="s">
        <v>35</v>
      </c>
    </row>
    <row r="103" spans="1:17">
      <c r="A103" s="1">
        <v>45444</v>
      </c>
      <c r="B103" s="2" t="s">
        <v>39</v>
      </c>
      <c r="C103" s="2" t="s">
        <v>40</v>
      </c>
      <c r="D103" s="2" t="s">
        <v>48</v>
      </c>
      <c r="E103" s="2" t="s">
        <v>24</v>
      </c>
      <c r="F103" s="2">
        <v>8</v>
      </c>
      <c r="G103" s="2">
        <v>228.57</v>
      </c>
      <c r="H103" s="2">
        <v>1828.56</v>
      </c>
      <c r="I103" s="2">
        <v>1779.56</v>
      </c>
      <c r="J103" s="2">
        <v>49</v>
      </c>
      <c r="K103" s="2" t="s">
        <v>18</v>
      </c>
      <c r="L103" s="2" t="s">
        <v>33</v>
      </c>
      <c r="M103" s="2">
        <f t="shared" si="9"/>
        <v>0</v>
      </c>
      <c r="N103" s="2">
        <f t="shared" si="10"/>
        <v>0</v>
      </c>
      <c r="O103" s="2">
        <f t="shared" si="11"/>
        <v>1</v>
      </c>
      <c r="P103" s="2" t="s">
        <v>37</v>
      </c>
      <c r="Q103" s="2" t="s">
        <v>21</v>
      </c>
    </row>
    <row r="104" spans="1:17">
      <c r="A104" s="1">
        <v>45532</v>
      </c>
      <c r="B104" s="2" t="s">
        <v>43</v>
      </c>
      <c r="C104" s="2" t="s">
        <v>44</v>
      </c>
      <c r="D104" s="2" t="s">
        <v>49</v>
      </c>
      <c r="E104" s="2" t="s">
        <v>31</v>
      </c>
      <c r="F104" s="2">
        <v>2</v>
      </c>
      <c r="G104" s="2">
        <v>495.03</v>
      </c>
      <c r="H104" s="2">
        <v>990.06</v>
      </c>
      <c r="I104" s="2">
        <v>950.06</v>
      </c>
      <c r="J104" s="2">
        <v>40</v>
      </c>
      <c r="K104" s="2" t="s">
        <v>25</v>
      </c>
      <c r="L104" s="2" t="s">
        <v>19</v>
      </c>
      <c r="M104" s="2">
        <f t="shared" si="9"/>
        <v>1</v>
      </c>
      <c r="N104" s="2">
        <f t="shared" si="10"/>
        <v>0</v>
      </c>
      <c r="O104" s="2">
        <f t="shared" si="11"/>
        <v>0</v>
      </c>
      <c r="P104" s="2" t="s">
        <v>20</v>
      </c>
      <c r="Q104" s="2" t="s">
        <v>28</v>
      </c>
    </row>
    <row r="105" spans="1:17">
      <c r="A105" s="1">
        <v>45409</v>
      </c>
      <c r="B105" s="2" t="s">
        <v>59</v>
      </c>
      <c r="C105" s="2" t="s">
        <v>30</v>
      </c>
      <c r="D105" s="2" t="s">
        <v>48</v>
      </c>
      <c r="E105" s="2" t="s">
        <v>46</v>
      </c>
      <c r="F105" s="2">
        <v>7</v>
      </c>
      <c r="G105" s="2">
        <v>75.27</v>
      </c>
      <c r="H105" s="2">
        <v>526.89</v>
      </c>
      <c r="I105" s="2">
        <v>466.89</v>
      </c>
      <c r="J105" s="2">
        <v>60</v>
      </c>
      <c r="K105" s="2" t="s">
        <v>32</v>
      </c>
      <c r="L105" s="2" t="s">
        <v>26</v>
      </c>
      <c r="M105" s="2">
        <f t="shared" si="9"/>
        <v>0</v>
      </c>
      <c r="N105" s="2">
        <f t="shared" si="10"/>
        <v>1</v>
      </c>
      <c r="O105" s="2">
        <f t="shared" si="11"/>
        <v>0</v>
      </c>
      <c r="P105" s="2" t="s">
        <v>27</v>
      </c>
      <c r="Q105" s="2" t="s">
        <v>35</v>
      </c>
    </row>
    <row r="106" spans="1:17">
      <c r="A106" s="1">
        <v>45364</v>
      </c>
      <c r="B106" s="2" t="s">
        <v>29</v>
      </c>
      <c r="C106" s="2" t="s">
        <v>30</v>
      </c>
      <c r="D106" s="2" t="s">
        <v>23</v>
      </c>
      <c r="E106" s="2" t="s">
        <v>17</v>
      </c>
      <c r="F106" s="2">
        <v>6</v>
      </c>
      <c r="G106" s="2">
        <v>156.28</v>
      </c>
      <c r="H106" s="2">
        <v>937.68</v>
      </c>
      <c r="I106" s="2">
        <v>872.18</v>
      </c>
      <c r="J106" s="2">
        <v>65.5</v>
      </c>
      <c r="K106" s="2" t="s">
        <v>18</v>
      </c>
      <c r="L106" s="2" t="s">
        <v>19</v>
      </c>
      <c r="M106" s="2">
        <f t="shared" si="9"/>
        <v>1</v>
      </c>
      <c r="N106" s="2">
        <f t="shared" si="10"/>
        <v>0</v>
      </c>
      <c r="O106" s="2">
        <f t="shared" si="11"/>
        <v>0</v>
      </c>
      <c r="P106" s="2" t="s">
        <v>34</v>
      </c>
      <c r="Q106" s="2" t="s">
        <v>21</v>
      </c>
    </row>
    <row r="107" spans="1:17">
      <c r="A107" s="1">
        <v>45536</v>
      </c>
      <c r="B107" s="2" t="s">
        <v>39</v>
      </c>
      <c r="C107" s="2" t="s">
        <v>40</v>
      </c>
      <c r="D107" s="2" t="s">
        <v>42</v>
      </c>
      <c r="E107" s="2" t="s">
        <v>46</v>
      </c>
      <c r="F107" s="2">
        <v>5</v>
      </c>
      <c r="G107" s="2">
        <v>273.58</v>
      </c>
      <c r="H107" s="2">
        <v>1367.9</v>
      </c>
      <c r="I107" s="2">
        <v>1318.9</v>
      </c>
      <c r="J107" s="2">
        <v>49</v>
      </c>
      <c r="K107" s="2" t="s">
        <v>25</v>
      </c>
      <c r="L107" s="2" t="s">
        <v>33</v>
      </c>
      <c r="M107" s="2">
        <f t="shared" si="9"/>
        <v>0</v>
      </c>
      <c r="N107" s="2">
        <f t="shared" si="10"/>
        <v>0</v>
      </c>
      <c r="O107" s="2">
        <f t="shared" si="11"/>
        <v>1</v>
      </c>
      <c r="P107" s="2" t="s">
        <v>37</v>
      </c>
      <c r="Q107" s="2" t="s">
        <v>28</v>
      </c>
    </row>
    <row r="108" spans="1:17">
      <c r="A108" s="1">
        <v>45395</v>
      </c>
      <c r="B108" s="2" t="s">
        <v>14</v>
      </c>
      <c r="C108" s="2" t="s">
        <v>15</v>
      </c>
      <c r="D108" s="2" t="s">
        <v>48</v>
      </c>
      <c r="E108" s="2" t="s">
        <v>24</v>
      </c>
      <c r="F108" s="2">
        <v>9</v>
      </c>
      <c r="G108" s="2">
        <v>393.82</v>
      </c>
      <c r="H108" s="2">
        <v>3544.38</v>
      </c>
      <c r="I108" s="2">
        <v>3504.38</v>
      </c>
      <c r="J108" s="2">
        <v>40</v>
      </c>
      <c r="K108" s="2" t="s">
        <v>32</v>
      </c>
      <c r="L108" s="2" t="s">
        <v>19</v>
      </c>
      <c r="M108" s="2">
        <f t="shared" si="9"/>
        <v>1</v>
      </c>
      <c r="N108" s="2">
        <f t="shared" si="10"/>
        <v>0</v>
      </c>
      <c r="O108" s="2">
        <f t="shared" si="11"/>
        <v>0</v>
      </c>
      <c r="P108" s="2" t="s">
        <v>20</v>
      </c>
      <c r="Q108" s="2" t="s">
        <v>35</v>
      </c>
    </row>
    <row r="109" spans="1:17">
      <c r="A109" s="1">
        <v>45489</v>
      </c>
      <c r="B109" s="2" t="s">
        <v>47</v>
      </c>
      <c r="C109" s="2" t="s">
        <v>44</v>
      </c>
      <c r="D109" s="2" t="s">
        <v>49</v>
      </c>
      <c r="E109" s="2" t="s">
        <v>31</v>
      </c>
      <c r="F109" s="2">
        <v>5</v>
      </c>
      <c r="G109" s="2">
        <v>439.15</v>
      </c>
      <c r="H109" s="2">
        <v>2195.75</v>
      </c>
      <c r="I109" s="2">
        <v>2135.75</v>
      </c>
      <c r="J109" s="2">
        <v>60</v>
      </c>
      <c r="K109" s="2" t="s">
        <v>18</v>
      </c>
      <c r="L109" s="2" t="s">
        <v>26</v>
      </c>
      <c r="M109" s="2">
        <f t="shared" si="9"/>
        <v>0</v>
      </c>
      <c r="N109" s="2">
        <f t="shared" si="10"/>
        <v>1</v>
      </c>
      <c r="O109" s="2">
        <f t="shared" si="11"/>
        <v>0</v>
      </c>
      <c r="P109" s="2" t="s">
        <v>27</v>
      </c>
      <c r="Q109" s="2" t="s">
        <v>21</v>
      </c>
    </row>
    <row r="110" spans="1:17">
      <c r="A110" s="1">
        <v>45314</v>
      </c>
      <c r="B110" s="2" t="s">
        <v>47</v>
      </c>
      <c r="C110" s="2" t="s">
        <v>44</v>
      </c>
      <c r="D110" s="2" t="s">
        <v>49</v>
      </c>
      <c r="E110" s="2" t="s">
        <v>31</v>
      </c>
      <c r="F110" s="2">
        <v>5</v>
      </c>
      <c r="G110" s="2">
        <v>417.04</v>
      </c>
      <c r="H110" s="2">
        <v>2085.1999999999998</v>
      </c>
      <c r="I110" s="2">
        <v>2019.6999999999998</v>
      </c>
      <c r="J110" s="2">
        <v>65.5</v>
      </c>
      <c r="K110" s="2" t="s">
        <v>25</v>
      </c>
      <c r="L110" s="2" t="s">
        <v>19</v>
      </c>
      <c r="M110" s="2">
        <f t="shared" si="9"/>
        <v>1</v>
      </c>
      <c r="N110" s="2">
        <f t="shared" si="10"/>
        <v>0</v>
      </c>
      <c r="O110" s="2">
        <f t="shared" si="11"/>
        <v>0</v>
      </c>
      <c r="P110" s="2" t="s">
        <v>34</v>
      </c>
      <c r="Q110" s="2" t="s">
        <v>28</v>
      </c>
    </row>
    <row r="111" spans="1:17">
      <c r="A111" s="1">
        <v>45318</v>
      </c>
      <c r="B111" s="2" t="s">
        <v>47</v>
      </c>
      <c r="C111" s="2" t="s">
        <v>44</v>
      </c>
      <c r="D111" s="2" t="s">
        <v>42</v>
      </c>
      <c r="E111" s="2" t="s">
        <v>24</v>
      </c>
      <c r="F111" s="2">
        <v>7</v>
      </c>
      <c r="G111" s="2">
        <v>178.61</v>
      </c>
      <c r="H111" s="2">
        <v>1250.27</v>
      </c>
      <c r="I111" s="2">
        <v>1201.27</v>
      </c>
      <c r="J111" s="2">
        <v>49</v>
      </c>
      <c r="K111" s="2" t="s">
        <v>32</v>
      </c>
      <c r="L111" s="2" t="s">
        <v>33</v>
      </c>
      <c r="M111" s="2">
        <f t="shared" si="9"/>
        <v>0</v>
      </c>
      <c r="N111" s="2">
        <f t="shared" si="10"/>
        <v>0</v>
      </c>
      <c r="O111" s="2">
        <f t="shared" si="11"/>
        <v>1</v>
      </c>
      <c r="P111" s="2" t="s">
        <v>37</v>
      </c>
      <c r="Q111" s="2" t="s">
        <v>35</v>
      </c>
    </row>
    <row r="112" spans="1:17">
      <c r="A112" s="1">
        <v>45466</v>
      </c>
      <c r="B112" s="2" t="s">
        <v>56</v>
      </c>
      <c r="C112" s="2" t="s">
        <v>52</v>
      </c>
      <c r="D112" s="2" t="s">
        <v>42</v>
      </c>
      <c r="E112" s="2" t="s">
        <v>17</v>
      </c>
      <c r="F112" s="2">
        <v>7</v>
      </c>
      <c r="G112" s="2">
        <v>161.06</v>
      </c>
      <c r="H112" s="2">
        <v>1127.42</v>
      </c>
      <c r="I112" s="2">
        <v>1087.42</v>
      </c>
      <c r="J112" s="2">
        <v>40</v>
      </c>
      <c r="K112" s="2" t="s">
        <v>18</v>
      </c>
      <c r="L112" s="2" t="s">
        <v>19</v>
      </c>
      <c r="M112" s="2">
        <f t="shared" si="9"/>
        <v>1</v>
      </c>
      <c r="N112" s="2">
        <f t="shared" si="10"/>
        <v>0</v>
      </c>
      <c r="O112" s="2">
        <f t="shared" si="11"/>
        <v>0</v>
      </c>
      <c r="P112" s="2" t="s">
        <v>20</v>
      </c>
      <c r="Q112" s="2" t="s">
        <v>21</v>
      </c>
    </row>
    <row r="113" spans="1:17">
      <c r="A113" s="1">
        <v>45627</v>
      </c>
      <c r="B113" s="2" t="s">
        <v>45</v>
      </c>
      <c r="C113" s="2" t="s">
        <v>44</v>
      </c>
      <c r="D113" s="2" t="s">
        <v>23</v>
      </c>
      <c r="E113" s="2" t="s">
        <v>46</v>
      </c>
      <c r="F113" s="2">
        <v>4</v>
      </c>
      <c r="G113" s="2">
        <v>23.62</v>
      </c>
      <c r="H113" s="2">
        <v>94.48</v>
      </c>
      <c r="I113" s="2">
        <v>34.480000000000004</v>
      </c>
      <c r="J113" s="2">
        <v>60</v>
      </c>
      <c r="K113" s="2" t="s">
        <v>25</v>
      </c>
      <c r="L113" s="2" t="s">
        <v>26</v>
      </c>
      <c r="M113" s="2">
        <f t="shared" si="9"/>
        <v>0</v>
      </c>
      <c r="N113" s="2">
        <f t="shared" si="10"/>
        <v>1</v>
      </c>
      <c r="O113" s="2">
        <f t="shared" si="11"/>
        <v>0</v>
      </c>
      <c r="P113" s="2" t="s">
        <v>27</v>
      </c>
      <c r="Q113" s="2" t="s">
        <v>28</v>
      </c>
    </row>
    <row r="114" spans="1:17">
      <c r="A114" s="1">
        <v>45373</v>
      </c>
      <c r="B114" s="2" t="s">
        <v>39</v>
      </c>
      <c r="C114" s="2" t="s">
        <v>40</v>
      </c>
      <c r="D114" s="2" t="s">
        <v>16</v>
      </c>
      <c r="E114" s="2" t="s">
        <v>24</v>
      </c>
      <c r="F114" s="2">
        <v>1</v>
      </c>
      <c r="G114" s="2">
        <v>340.59</v>
      </c>
      <c r="H114" s="2">
        <v>340.59</v>
      </c>
      <c r="I114" s="2">
        <v>275.08999999999997</v>
      </c>
      <c r="J114" s="2">
        <v>65.5</v>
      </c>
      <c r="K114" s="2" t="s">
        <v>32</v>
      </c>
      <c r="L114" s="2" t="s">
        <v>33</v>
      </c>
      <c r="M114" s="2">
        <f t="shared" si="9"/>
        <v>0</v>
      </c>
      <c r="N114" s="2">
        <f t="shared" si="10"/>
        <v>0</v>
      </c>
      <c r="O114" s="2">
        <f t="shared" si="11"/>
        <v>1</v>
      </c>
      <c r="P114" s="2" t="s">
        <v>34</v>
      </c>
      <c r="Q114" s="2" t="s">
        <v>35</v>
      </c>
    </row>
    <row r="115" spans="1:17">
      <c r="A115" s="1">
        <v>45389</v>
      </c>
      <c r="B115" s="2" t="s">
        <v>53</v>
      </c>
      <c r="C115" s="2" t="s">
        <v>40</v>
      </c>
      <c r="D115" s="2" t="s">
        <v>16</v>
      </c>
      <c r="E115" s="2" t="s">
        <v>17</v>
      </c>
      <c r="F115" s="2">
        <v>2</v>
      </c>
      <c r="G115" s="2">
        <v>362.31</v>
      </c>
      <c r="H115" s="2">
        <v>724.62</v>
      </c>
      <c r="I115" s="2">
        <v>675.62</v>
      </c>
      <c r="J115" s="2">
        <v>49</v>
      </c>
      <c r="K115" s="2" t="s">
        <v>18</v>
      </c>
      <c r="L115" s="2" t="s">
        <v>19</v>
      </c>
      <c r="M115" s="2">
        <f t="shared" si="9"/>
        <v>1</v>
      </c>
      <c r="N115" s="2">
        <f t="shared" si="10"/>
        <v>0</v>
      </c>
      <c r="O115" s="2">
        <f t="shared" si="11"/>
        <v>0</v>
      </c>
      <c r="P115" s="2" t="s">
        <v>37</v>
      </c>
      <c r="Q115" s="2" t="s">
        <v>21</v>
      </c>
    </row>
    <row r="116" spans="1:17">
      <c r="A116" s="1">
        <v>45380</v>
      </c>
      <c r="B116" s="2" t="s">
        <v>55</v>
      </c>
      <c r="C116" s="2" t="s">
        <v>44</v>
      </c>
      <c r="D116" s="2" t="s">
        <v>42</v>
      </c>
      <c r="E116" s="2" t="s">
        <v>31</v>
      </c>
      <c r="F116" s="2">
        <v>8</v>
      </c>
      <c r="G116" s="2">
        <v>418.71</v>
      </c>
      <c r="H116" s="2">
        <v>3349.68</v>
      </c>
      <c r="I116" s="2">
        <v>3309.68</v>
      </c>
      <c r="J116" s="2">
        <v>40</v>
      </c>
      <c r="K116" s="2" t="s">
        <v>25</v>
      </c>
      <c r="L116" s="2" t="s">
        <v>26</v>
      </c>
      <c r="M116" s="2">
        <f t="shared" si="9"/>
        <v>0</v>
      </c>
      <c r="N116" s="2">
        <f t="shared" si="10"/>
        <v>1</v>
      </c>
      <c r="O116" s="2">
        <f t="shared" si="11"/>
        <v>0</v>
      </c>
      <c r="P116" s="2" t="s">
        <v>20</v>
      </c>
      <c r="Q116" s="2" t="s">
        <v>28</v>
      </c>
    </row>
    <row r="117" spans="1:17">
      <c r="A117" s="1">
        <v>45304</v>
      </c>
      <c r="B117" s="2" t="s">
        <v>29</v>
      </c>
      <c r="C117" s="2" t="s">
        <v>30</v>
      </c>
      <c r="D117" s="2" t="s">
        <v>16</v>
      </c>
      <c r="E117" s="2" t="s">
        <v>46</v>
      </c>
      <c r="F117" s="2">
        <v>6</v>
      </c>
      <c r="G117" s="2">
        <v>111.13</v>
      </c>
      <c r="H117" s="2">
        <v>666.78</v>
      </c>
      <c r="I117" s="2">
        <v>606.78</v>
      </c>
      <c r="J117" s="2">
        <v>60</v>
      </c>
      <c r="K117" s="2" t="s">
        <v>32</v>
      </c>
      <c r="L117" s="2" t="s">
        <v>19</v>
      </c>
      <c r="M117" s="2">
        <f t="shared" si="9"/>
        <v>1</v>
      </c>
      <c r="N117" s="2">
        <f t="shared" si="10"/>
        <v>0</v>
      </c>
      <c r="O117" s="2">
        <f t="shared" si="11"/>
        <v>0</v>
      </c>
      <c r="P117" s="2" t="s">
        <v>27</v>
      </c>
      <c r="Q117" s="2" t="s">
        <v>35</v>
      </c>
    </row>
    <row r="118" spans="1:17">
      <c r="A118" s="1">
        <v>45636</v>
      </c>
      <c r="B118" s="2" t="s">
        <v>55</v>
      </c>
      <c r="C118" s="2" t="s">
        <v>44</v>
      </c>
      <c r="D118" s="2" t="s">
        <v>42</v>
      </c>
      <c r="E118" s="2" t="s">
        <v>31</v>
      </c>
      <c r="F118" s="2">
        <v>9</v>
      </c>
      <c r="G118" s="2">
        <v>484.72</v>
      </c>
      <c r="H118" s="2">
        <v>4362.4799999999996</v>
      </c>
      <c r="I118" s="2">
        <v>4296.9799999999996</v>
      </c>
      <c r="J118" s="2">
        <v>65.5</v>
      </c>
      <c r="K118" s="2" t="s">
        <v>18</v>
      </c>
      <c r="L118" s="2" t="s">
        <v>19</v>
      </c>
      <c r="M118" s="2">
        <f t="shared" si="9"/>
        <v>1</v>
      </c>
      <c r="N118" s="2">
        <f t="shared" si="10"/>
        <v>0</v>
      </c>
      <c r="O118" s="2">
        <f t="shared" si="11"/>
        <v>0</v>
      </c>
      <c r="P118" s="2" t="s">
        <v>34</v>
      </c>
      <c r="Q118" s="2" t="s">
        <v>21</v>
      </c>
    </row>
    <row r="119" spans="1:17">
      <c r="A119" s="1">
        <v>45605</v>
      </c>
      <c r="B119" s="2" t="s">
        <v>41</v>
      </c>
      <c r="C119" s="2" t="s">
        <v>30</v>
      </c>
      <c r="D119" s="2" t="s">
        <v>42</v>
      </c>
      <c r="E119" s="2" t="s">
        <v>24</v>
      </c>
      <c r="F119" s="2">
        <v>1</v>
      </c>
      <c r="G119" s="2">
        <v>67.53</v>
      </c>
      <c r="H119" s="2">
        <v>67.53</v>
      </c>
      <c r="I119" s="2">
        <v>18.53</v>
      </c>
      <c r="J119" s="2">
        <v>49</v>
      </c>
      <c r="K119" s="2" t="s">
        <v>25</v>
      </c>
      <c r="L119" s="2" t="s">
        <v>26</v>
      </c>
      <c r="M119" s="2">
        <f t="shared" si="9"/>
        <v>0</v>
      </c>
      <c r="N119" s="2">
        <f t="shared" si="10"/>
        <v>1</v>
      </c>
      <c r="O119" s="2">
        <f t="shared" si="11"/>
        <v>0</v>
      </c>
      <c r="P119" s="2" t="s">
        <v>37</v>
      </c>
      <c r="Q119" s="2" t="s">
        <v>28</v>
      </c>
    </row>
    <row r="120" spans="1:17">
      <c r="A120" s="1">
        <v>45380</v>
      </c>
      <c r="B120" s="2" t="s">
        <v>54</v>
      </c>
      <c r="C120" s="2" t="s">
        <v>40</v>
      </c>
      <c r="D120" s="2" t="s">
        <v>42</v>
      </c>
      <c r="E120" s="2" t="s">
        <v>24</v>
      </c>
      <c r="F120" s="2">
        <v>2</v>
      </c>
      <c r="G120" s="2">
        <v>368.03</v>
      </c>
      <c r="H120" s="2">
        <v>736.06</v>
      </c>
      <c r="I120" s="2">
        <v>696.06</v>
      </c>
      <c r="J120" s="2">
        <v>40</v>
      </c>
      <c r="K120" s="2" t="s">
        <v>32</v>
      </c>
      <c r="L120" s="2" t="s">
        <v>19</v>
      </c>
      <c r="M120" s="2">
        <f t="shared" si="9"/>
        <v>1</v>
      </c>
      <c r="N120" s="2">
        <f t="shared" si="10"/>
        <v>0</v>
      </c>
      <c r="O120" s="2">
        <f t="shared" si="11"/>
        <v>0</v>
      </c>
      <c r="P120" s="2" t="s">
        <v>20</v>
      </c>
      <c r="Q120" s="2" t="s">
        <v>35</v>
      </c>
    </row>
    <row r="121" spans="1:17">
      <c r="A121" s="1">
        <v>45372</v>
      </c>
      <c r="B121" s="2" t="s">
        <v>38</v>
      </c>
      <c r="C121" s="2" t="s">
        <v>15</v>
      </c>
      <c r="D121" s="2" t="s">
        <v>49</v>
      </c>
      <c r="E121" s="2" t="s">
        <v>24</v>
      </c>
      <c r="F121" s="2">
        <v>1</v>
      </c>
      <c r="G121" s="2">
        <v>372.87</v>
      </c>
      <c r="H121" s="2">
        <v>372.87</v>
      </c>
      <c r="I121" s="2">
        <v>312.87</v>
      </c>
      <c r="J121" s="2">
        <v>60</v>
      </c>
      <c r="K121" s="2" t="s">
        <v>18</v>
      </c>
      <c r="L121" s="2" t="s">
        <v>33</v>
      </c>
      <c r="M121" s="2">
        <f t="shared" si="9"/>
        <v>0</v>
      </c>
      <c r="N121" s="2">
        <f t="shared" si="10"/>
        <v>0</v>
      </c>
      <c r="O121" s="2">
        <f t="shared" si="11"/>
        <v>1</v>
      </c>
      <c r="P121" s="2" t="s">
        <v>27</v>
      </c>
      <c r="Q121" s="2" t="s">
        <v>21</v>
      </c>
    </row>
    <row r="122" spans="1:17">
      <c r="A122" s="1">
        <v>45329</v>
      </c>
      <c r="B122" s="2" t="s">
        <v>14</v>
      </c>
      <c r="C122" s="2" t="s">
        <v>15</v>
      </c>
      <c r="D122" s="2" t="s">
        <v>42</v>
      </c>
      <c r="E122" s="2" t="s">
        <v>46</v>
      </c>
      <c r="F122" s="2">
        <v>10</v>
      </c>
      <c r="G122" s="2">
        <v>51.96</v>
      </c>
      <c r="H122" s="2">
        <v>519.6</v>
      </c>
      <c r="I122" s="2">
        <v>454.1</v>
      </c>
      <c r="J122" s="2">
        <v>65.5</v>
      </c>
      <c r="K122" s="2" t="s">
        <v>25</v>
      </c>
      <c r="L122" s="2" t="s">
        <v>26</v>
      </c>
      <c r="M122" s="2">
        <f t="shared" si="9"/>
        <v>0</v>
      </c>
      <c r="N122" s="2">
        <f t="shared" si="10"/>
        <v>1</v>
      </c>
      <c r="O122" s="2">
        <f t="shared" si="11"/>
        <v>0</v>
      </c>
      <c r="P122" s="2" t="s">
        <v>34</v>
      </c>
      <c r="Q122" s="2" t="s">
        <v>28</v>
      </c>
    </row>
    <row r="123" spans="1:17">
      <c r="A123" s="1">
        <v>45449</v>
      </c>
      <c r="B123" s="2" t="s">
        <v>56</v>
      </c>
      <c r="C123" s="2" t="s">
        <v>52</v>
      </c>
      <c r="D123" s="2" t="s">
        <v>48</v>
      </c>
      <c r="E123" s="2" t="s">
        <v>24</v>
      </c>
      <c r="F123" s="2">
        <v>8</v>
      </c>
      <c r="G123" s="2">
        <v>434.36</v>
      </c>
      <c r="H123" s="2">
        <v>3474.88</v>
      </c>
      <c r="I123" s="2">
        <v>3425.88</v>
      </c>
      <c r="J123" s="2">
        <v>49</v>
      </c>
      <c r="K123" s="2" t="s">
        <v>32</v>
      </c>
      <c r="L123" s="2" t="s">
        <v>19</v>
      </c>
      <c r="M123" s="2">
        <f t="shared" si="9"/>
        <v>1</v>
      </c>
      <c r="N123" s="2">
        <f t="shared" si="10"/>
        <v>0</v>
      </c>
      <c r="O123" s="2">
        <f t="shared" si="11"/>
        <v>0</v>
      </c>
      <c r="P123" s="2" t="s">
        <v>37</v>
      </c>
      <c r="Q123" s="2" t="s">
        <v>35</v>
      </c>
    </row>
    <row r="124" spans="1:17">
      <c r="A124" s="1">
        <v>45423</v>
      </c>
      <c r="B124" s="2" t="s">
        <v>57</v>
      </c>
      <c r="C124" s="2" t="s">
        <v>30</v>
      </c>
      <c r="D124" s="2" t="s">
        <v>23</v>
      </c>
      <c r="E124" s="2" t="s">
        <v>31</v>
      </c>
      <c r="F124" s="2">
        <v>3</v>
      </c>
      <c r="G124" s="2">
        <v>400.96</v>
      </c>
      <c r="H124" s="2">
        <v>1202.8800000000001</v>
      </c>
      <c r="I124" s="2">
        <v>1162.8800000000001</v>
      </c>
      <c r="J124" s="2">
        <v>40</v>
      </c>
      <c r="K124" s="2" t="s">
        <v>18</v>
      </c>
      <c r="L124" s="2" t="s">
        <v>26</v>
      </c>
      <c r="M124" s="2">
        <f t="shared" si="9"/>
        <v>0</v>
      </c>
      <c r="N124" s="2">
        <f t="shared" si="10"/>
        <v>1</v>
      </c>
      <c r="O124" s="2">
        <f t="shared" si="11"/>
        <v>0</v>
      </c>
      <c r="P124" s="2" t="s">
        <v>20</v>
      </c>
      <c r="Q124" s="2" t="s">
        <v>21</v>
      </c>
    </row>
    <row r="125" spans="1:17">
      <c r="A125" s="1">
        <v>45389</v>
      </c>
      <c r="B125" s="2" t="s">
        <v>56</v>
      </c>
      <c r="C125" s="2" t="s">
        <v>52</v>
      </c>
      <c r="D125" s="2" t="s">
        <v>49</v>
      </c>
      <c r="E125" s="2" t="s">
        <v>24</v>
      </c>
      <c r="F125" s="2">
        <v>1</v>
      </c>
      <c r="G125" s="2">
        <v>55.02</v>
      </c>
      <c r="H125" s="2">
        <v>55.02</v>
      </c>
      <c r="I125" s="2">
        <v>-4.9799999999999969</v>
      </c>
      <c r="J125" s="2">
        <v>60</v>
      </c>
      <c r="K125" s="2" t="s">
        <v>25</v>
      </c>
      <c r="L125" s="2" t="s">
        <v>19</v>
      </c>
      <c r="M125" s="2">
        <f t="shared" si="9"/>
        <v>1</v>
      </c>
      <c r="N125" s="2">
        <f t="shared" si="10"/>
        <v>0</v>
      </c>
      <c r="O125" s="2">
        <f t="shared" si="11"/>
        <v>0</v>
      </c>
      <c r="P125" s="2" t="s">
        <v>27</v>
      </c>
      <c r="Q125" s="2" t="s">
        <v>28</v>
      </c>
    </row>
    <row r="126" spans="1:17">
      <c r="A126" s="1">
        <v>45595</v>
      </c>
      <c r="B126" s="2" t="s">
        <v>53</v>
      </c>
      <c r="C126" s="2" t="s">
        <v>40</v>
      </c>
      <c r="D126" s="2" t="s">
        <v>16</v>
      </c>
      <c r="E126" s="2" t="s">
        <v>31</v>
      </c>
      <c r="F126" s="2">
        <v>5</v>
      </c>
      <c r="G126" s="2">
        <v>187.23</v>
      </c>
      <c r="H126" s="2">
        <v>936.15</v>
      </c>
      <c r="I126" s="2">
        <v>870.65</v>
      </c>
      <c r="J126" s="2">
        <v>65.5</v>
      </c>
      <c r="K126" s="2" t="s">
        <v>32</v>
      </c>
      <c r="L126" s="2" t="s">
        <v>19</v>
      </c>
      <c r="M126" s="2">
        <f t="shared" si="9"/>
        <v>1</v>
      </c>
      <c r="N126" s="2">
        <f t="shared" si="10"/>
        <v>0</v>
      </c>
      <c r="O126" s="2">
        <f t="shared" si="11"/>
        <v>0</v>
      </c>
      <c r="P126" s="2" t="s">
        <v>34</v>
      </c>
      <c r="Q126" s="2" t="s">
        <v>35</v>
      </c>
    </row>
    <row r="127" spans="1:17">
      <c r="A127" s="1">
        <v>45346</v>
      </c>
      <c r="B127" s="2" t="s">
        <v>54</v>
      </c>
      <c r="C127" s="2" t="s">
        <v>40</v>
      </c>
      <c r="D127" s="2" t="s">
        <v>48</v>
      </c>
      <c r="E127" s="2" t="s">
        <v>24</v>
      </c>
      <c r="F127" s="2">
        <v>9</v>
      </c>
      <c r="G127" s="2">
        <v>202.72</v>
      </c>
      <c r="H127" s="2">
        <v>1824.48</v>
      </c>
      <c r="I127" s="2">
        <v>1775.48</v>
      </c>
      <c r="J127" s="2">
        <v>49</v>
      </c>
      <c r="K127" s="2" t="s">
        <v>18</v>
      </c>
      <c r="L127" s="2" t="s">
        <v>26</v>
      </c>
      <c r="M127" s="2">
        <f t="shared" si="9"/>
        <v>0</v>
      </c>
      <c r="N127" s="2">
        <f t="shared" si="10"/>
        <v>1</v>
      </c>
      <c r="O127" s="2">
        <f t="shared" si="11"/>
        <v>0</v>
      </c>
      <c r="P127" s="2" t="s">
        <v>37</v>
      </c>
      <c r="Q127" s="2" t="s">
        <v>21</v>
      </c>
    </row>
    <row r="128" spans="1:17">
      <c r="A128" s="1">
        <v>45600</v>
      </c>
      <c r="B128" s="2" t="s">
        <v>54</v>
      </c>
      <c r="C128" s="2" t="s">
        <v>40</v>
      </c>
      <c r="D128" s="2" t="s">
        <v>16</v>
      </c>
      <c r="E128" s="2" t="s">
        <v>31</v>
      </c>
      <c r="F128" s="2">
        <v>3</v>
      </c>
      <c r="G128" s="2">
        <v>276.01</v>
      </c>
      <c r="H128" s="2">
        <v>828.03</v>
      </c>
      <c r="I128" s="2">
        <v>788.03</v>
      </c>
      <c r="J128" s="2">
        <v>40</v>
      </c>
      <c r="K128" s="2" t="s">
        <v>25</v>
      </c>
      <c r="L128" s="2" t="s">
        <v>33</v>
      </c>
      <c r="M128" s="2">
        <f t="shared" si="9"/>
        <v>0</v>
      </c>
      <c r="N128" s="2">
        <f t="shared" si="10"/>
        <v>0</v>
      </c>
      <c r="O128" s="2">
        <f t="shared" si="11"/>
        <v>1</v>
      </c>
      <c r="P128" s="2" t="s">
        <v>20</v>
      </c>
      <c r="Q128" s="2" t="s">
        <v>28</v>
      </c>
    </row>
    <row r="129" spans="1:17">
      <c r="A129" s="1">
        <v>45305</v>
      </c>
      <c r="B129" s="2" t="s">
        <v>45</v>
      </c>
      <c r="C129" s="2" t="s">
        <v>44</v>
      </c>
      <c r="D129" s="2" t="s">
        <v>49</v>
      </c>
      <c r="E129" s="2" t="s">
        <v>24</v>
      </c>
      <c r="F129" s="2">
        <v>10</v>
      </c>
      <c r="G129" s="2">
        <v>281.43</v>
      </c>
      <c r="H129" s="2">
        <v>2814.3</v>
      </c>
      <c r="I129" s="2">
        <v>2754.3</v>
      </c>
      <c r="J129" s="2">
        <v>60</v>
      </c>
      <c r="K129" s="2" t="s">
        <v>32</v>
      </c>
      <c r="L129" s="2" t="s">
        <v>19</v>
      </c>
      <c r="M129" s="2">
        <f t="shared" si="9"/>
        <v>1</v>
      </c>
      <c r="N129" s="2">
        <f t="shared" si="10"/>
        <v>0</v>
      </c>
      <c r="O129" s="2">
        <f t="shared" si="11"/>
        <v>0</v>
      </c>
      <c r="P129" s="2" t="s">
        <v>27</v>
      </c>
      <c r="Q129" s="2" t="s">
        <v>35</v>
      </c>
    </row>
    <row r="130" spans="1:17">
      <c r="A130" s="1">
        <v>45514</v>
      </c>
      <c r="B130" s="2" t="s">
        <v>56</v>
      </c>
      <c r="C130" s="2" t="s">
        <v>52</v>
      </c>
      <c r="D130" s="2" t="s">
        <v>48</v>
      </c>
      <c r="E130" s="2" t="s">
        <v>31</v>
      </c>
      <c r="F130" s="2">
        <v>7</v>
      </c>
      <c r="G130" s="2">
        <v>483.02</v>
      </c>
      <c r="H130" s="2">
        <v>3381.14</v>
      </c>
      <c r="I130" s="2">
        <v>3315.64</v>
      </c>
      <c r="J130" s="2">
        <v>65.5</v>
      </c>
      <c r="K130" s="2" t="s">
        <v>18</v>
      </c>
      <c r="L130" s="2" t="s">
        <v>26</v>
      </c>
      <c r="M130" s="2">
        <f t="shared" si="9"/>
        <v>0</v>
      </c>
      <c r="N130" s="2">
        <f t="shared" si="10"/>
        <v>1</v>
      </c>
      <c r="O130" s="2">
        <f t="shared" si="11"/>
        <v>0</v>
      </c>
      <c r="P130" s="2" t="s">
        <v>34</v>
      </c>
      <c r="Q130" s="2" t="s">
        <v>21</v>
      </c>
    </row>
    <row r="131" spans="1:17">
      <c r="A131" s="1">
        <v>45367</v>
      </c>
      <c r="B131" s="2" t="s">
        <v>55</v>
      </c>
      <c r="C131" s="2" t="s">
        <v>44</v>
      </c>
      <c r="D131" s="2" t="s">
        <v>48</v>
      </c>
      <c r="E131" s="2" t="s">
        <v>17</v>
      </c>
      <c r="F131" s="2">
        <v>10</v>
      </c>
      <c r="G131" s="2">
        <v>84.68</v>
      </c>
      <c r="H131" s="2">
        <v>846.8</v>
      </c>
      <c r="I131" s="2">
        <v>797.8</v>
      </c>
      <c r="J131" s="2">
        <v>49</v>
      </c>
      <c r="K131" s="2" t="s">
        <v>25</v>
      </c>
      <c r="L131" s="2" t="s">
        <v>19</v>
      </c>
      <c r="M131" s="2">
        <f t="shared" si="9"/>
        <v>1</v>
      </c>
      <c r="N131" s="2">
        <f t="shared" si="10"/>
        <v>0</v>
      </c>
      <c r="O131" s="2">
        <f t="shared" si="11"/>
        <v>0</v>
      </c>
      <c r="P131" s="2" t="s">
        <v>37</v>
      </c>
      <c r="Q131" s="2" t="s">
        <v>28</v>
      </c>
    </row>
    <row r="132" spans="1:17">
      <c r="A132" s="1">
        <v>45462</v>
      </c>
      <c r="B132" s="2" t="s">
        <v>39</v>
      </c>
      <c r="C132" s="2" t="s">
        <v>40</v>
      </c>
      <c r="D132" s="2" t="s">
        <v>16</v>
      </c>
      <c r="E132" s="2" t="s">
        <v>46</v>
      </c>
      <c r="F132" s="2">
        <v>3</v>
      </c>
      <c r="G132" s="2">
        <v>306.7</v>
      </c>
      <c r="H132" s="2">
        <v>920.1</v>
      </c>
      <c r="I132" s="2">
        <v>880.1</v>
      </c>
      <c r="J132" s="2">
        <v>40</v>
      </c>
      <c r="K132" s="2" t="s">
        <v>32</v>
      </c>
      <c r="L132" s="2" t="s">
        <v>19</v>
      </c>
      <c r="M132" s="2">
        <f t="shared" ref="M132:M163" si="12">IF(L132="Completed",1,0)</f>
        <v>1</v>
      </c>
      <c r="N132" s="2">
        <f t="shared" ref="N132:N153" si="13">IF(L132="Pending",1,0)</f>
        <v>0</v>
      </c>
      <c r="O132" s="2">
        <f t="shared" ref="O132:O153" si="14">IF(L132="Cancelled",1,0)</f>
        <v>0</v>
      </c>
      <c r="P132" s="2" t="s">
        <v>20</v>
      </c>
      <c r="Q132" s="2" t="s">
        <v>35</v>
      </c>
    </row>
    <row r="133" spans="1:17">
      <c r="A133" s="1">
        <v>45452</v>
      </c>
      <c r="B133" s="2" t="s">
        <v>39</v>
      </c>
      <c r="C133" s="2" t="s">
        <v>40</v>
      </c>
      <c r="D133" s="2" t="s">
        <v>48</v>
      </c>
      <c r="E133" s="2" t="s">
        <v>31</v>
      </c>
      <c r="F133" s="2">
        <v>2</v>
      </c>
      <c r="G133" s="2">
        <v>68.94</v>
      </c>
      <c r="H133" s="2">
        <v>137.88</v>
      </c>
      <c r="I133" s="2">
        <v>77.88</v>
      </c>
      <c r="J133" s="2">
        <v>60</v>
      </c>
      <c r="K133" s="2" t="s">
        <v>18</v>
      </c>
      <c r="L133" s="2" t="s">
        <v>33</v>
      </c>
      <c r="M133" s="2">
        <f t="shared" si="12"/>
        <v>0</v>
      </c>
      <c r="N133" s="2">
        <f t="shared" si="13"/>
        <v>0</v>
      </c>
      <c r="O133" s="2">
        <f t="shared" si="14"/>
        <v>1</v>
      </c>
      <c r="P133" s="2" t="s">
        <v>27</v>
      </c>
      <c r="Q133" s="2" t="s">
        <v>21</v>
      </c>
    </row>
    <row r="134" spans="1:17">
      <c r="A134" s="1">
        <v>45431</v>
      </c>
      <c r="B134" s="2" t="s">
        <v>50</v>
      </c>
      <c r="C134" s="2" t="s">
        <v>40</v>
      </c>
      <c r="D134" s="2" t="s">
        <v>16</v>
      </c>
      <c r="E134" s="2" t="s">
        <v>46</v>
      </c>
      <c r="F134" s="2">
        <v>7</v>
      </c>
      <c r="G134" s="2">
        <v>483.1</v>
      </c>
      <c r="H134" s="2">
        <v>3381.7</v>
      </c>
      <c r="I134" s="2">
        <v>3316.2</v>
      </c>
      <c r="J134" s="2">
        <v>65.5</v>
      </c>
      <c r="K134" s="2" t="s">
        <v>25</v>
      </c>
      <c r="L134" s="2" t="s">
        <v>19</v>
      </c>
      <c r="M134" s="2">
        <f t="shared" si="12"/>
        <v>1</v>
      </c>
      <c r="N134" s="2">
        <f t="shared" si="13"/>
        <v>0</v>
      </c>
      <c r="O134" s="2">
        <f t="shared" si="14"/>
        <v>0</v>
      </c>
      <c r="P134" s="2" t="s">
        <v>34</v>
      </c>
      <c r="Q134" s="2" t="s">
        <v>28</v>
      </c>
    </row>
    <row r="135" spans="1:17">
      <c r="A135" s="1">
        <v>45412</v>
      </c>
      <c r="B135" s="2" t="s">
        <v>56</v>
      </c>
      <c r="C135" s="2" t="s">
        <v>52</v>
      </c>
      <c r="D135" s="2" t="s">
        <v>48</v>
      </c>
      <c r="E135" s="2" t="s">
        <v>24</v>
      </c>
      <c r="F135" s="2">
        <v>2</v>
      </c>
      <c r="G135" s="2">
        <v>439.62</v>
      </c>
      <c r="H135" s="2">
        <v>879.24</v>
      </c>
      <c r="I135" s="2">
        <v>830.24</v>
      </c>
      <c r="J135" s="2">
        <v>49</v>
      </c>
      <c r="K135" s="2" t="s">
        <v>32</v>
      </c>
      <c r="L135" s="2" t="s">
        <v>26</v>
      </c>
      <c r="M135" s="2">
        <f t="shared" si="12"/>
        <v>0</v>
      </c>
      <c r="N135" s="2">
        <f t="shared" si="13"/>
        <v>1</v>
      </c>
      <c r="O135" s="2">
        <f t="shared" si="14"/>
        <v>0</v>
      </c>
      <c r="P135" s="2" t="s">
        <v>37</v>
      </c>
      <c r="Q135" s="2" t="s">
        <v>35</v>
      </c>
    </row>
    <row r="136" spans="1:17">
      <c r="A136" s="1">
        <v>45399</v>
      </c>
      <c r="B136" s="2" t="s">
        <v>55</v>
      </c>
      <c r="C136" s="2" t="s">
        <v>44</v>
      </c>
      <c r="D136" s="2" t="s">
        <v>49</v>
      </c>
      <c r="E136" s="2" t="s">
        <v>46</v>
      </c>
      <c r="F136" s="2">
        <v>9</v>
      </c>
      <c r="G136" s="2">
        <v>153.18</v>
      </c>
      <c r="H136" s="2">
        <v>1378.62</v>
      </c>
      <c r="I136" s="2">
        <v>1338.62</v>
      </c>
      <c r="J136" s="2">
        <v>40</v>
      </c>
      <c r="K136" s="2" t="s">
        <v>18</v>
      </c>
      <c r="L136" s="2" t="s">
        <v>19</v>
      </c>
      <c r="M136" s="2">
        <f t="shared" si="12"/>
        <v>1</v>
      </c>
      <c r="N136" s="2">
        <f t="shared" si="13"/>
        <v>0</v>
      </c>
      <c r="O136" s="2">
        <f t="shared" si="14"/>
        <v>0</v>
      </c>
      <c r="P136" s="2" t="s">
        <v>20</v>
      </c>
      <c r="Q136" s="2" t="s">
        <v>21</v>
      </c>
    </row>
    <row r="137" spans="1:17">
      <c r="A137" s="1">
        <v>45462</v>
      </c>
      <c r="B137" s="2" t="s">
        <v>45</v>
      </c>
      <c r="C137" s="2" t="s">
        <v>44</v>
      </c>
      <c r="D137" s="2" t="s">
        <v>48</v>
      </c>
      <c r="E137" s="2" t="s">
        <v>17</v>
      </c>
      <c r="F137" s="2">
        <v>5</v>
      </c>
      <c r="G137" s="2">
        <v>51.53</v>
      </c>
      <c r="H137" s="2">
        <v>257.64999999999998</v>
      </c>
      <c r="I137" s="2">
        <v>197.64999999999998</v>
      </c>
      <c r="J137" s="2">
        <v>60</v>
      </c>
      <c r="K137" s="2" t="s">
        <v>25</v>
      </c>
      <c r="L137" s="2" t="s">
        <v>19</v>
      </c>
      <c r="M137" s="2">
        <f t="shared" si="12"/>
        <v>1</v>
      </c>
      <c r="N137" s="2">
        <f t="shared" si="13"/>
        <v>0</v>
      </c>
      <c r="O137" s="2">
        <f t="shared" si="14"/>
        <v>0</v>
      </c>
      <c r="P137" s="2" t="s">
        <v>27</v>
      </c>
      <c r="Q137" s="2" t="s">
        <v>28</v>
      </c>
    </row>
    <row r="138" spans="1:17">
      <c r="A138" s="1">
        <v>45483</v>
      </c>
      <c r="B138" s="2" t="s">
        <v>41</v>
      </c>
      <c r="C138" s="2" t="s">
        <v>30</v>
      </c>
      <c r="D138" s="2" t="s">
        <v>42</v>
      </c>
      <c r="E138" s="2" t="s">
        <v>46</v>
      </c>
      <c r="F138" s="2">
        <v>4</v>
      </c>
      <c r="G138" s="2">
        <v>231.62</v>
      </c>
      <c r="H138" s="2">
        <v>926.48</v>
      </c>
      <c r="I138" s="2">
        <v>860.98</v>
      </c>
      <c r="J138" s="2">
        <v>65.5</v>
      </c>
      <c r="K138" s="2" t="s">
        <v>32</v>
      </c>
      <c r="L138" s="2" t="s">
        <v>26</v>
      </c>
      <c r="M138" s="2">
        <f t="shared" si="12"/>
        <v>0</v>
      </c>
      <c r="N138" s="2">
        <f t="shared" si="13"/>
        <v>1</v>
      </c>
      <c r="O138" s="2">
        <f t="shared" si="14"/>
        <v>0</v>
      </c>
      <c r="P138" s="2" t="s">
        <v>34</v>
      </c>
      <c r="Q138" s="2" t="s">
        <v>35</v>
      </c>
    </row>
    <row r="139" spans="1:17">
      <c r="A139" s="1">
        <v>45395</v>
      </c>
      <c r="B139" s="2" t="s">
        <v>47</v>
      </c>
      <c r="C139" s="2" t="s">
        <v>44</v>
      </c>
      <c r="D139" s="2" t="s">
        <v>48</v>
      </c>
      <c r="E139" s="2" t="s">
        <v>31</v>
      </c>
      <c r="F139" s="2">
        <v>5</v>
      </c>
      <c r="G139" s="2">
        <v>303.83999999999997</v>
      </c>
      <c r="H139" s="2">
        <v>1519.2</v>
      </c>
      <c r="I139" s="2">
        <v>1470.2</v>
      </c>
      <c r="J139" s="2">
        <v>49</v>
      </c>
      <c r="K139" s="2" t="s">
        <v>18</v>
      </c>
      <c r="L139" s="2" t="s">
        <v>33</v>
      </c>
      <c r="M139" s="2">
        <f t="shared" si="12"/>
        <v>0</v>
      </c>
      <c r="N139" s="2">
        <f t="shared" si="13"/>
        <v>0</v>
      </c>
      <c r="O139" s="2">
        <f t="shared" si="14"/>
        <v>1</v>
      </c>
      <c r="P139" s="2" t="s">
        <v>37</v>
      </c>
      <c r="Q139" s="2" t="s">
        <v>21</v>
      </c>
    </row>
    <row r="140" spans="1:17">
      <c r="A140" s="1">
        <v>45313</v>
      </c>
      <c r="B140" s="2" t="s">
        <v>47</v>
      </c>
      <c r="C140" s="2" t="s">
        <v>44</v>
      </c>
      <c r="D140" s="2" t="s">
        <v>49</v>
      </c>
      <c r="E140" s="2" t="s">
        <v>46</v>
      </c>
      <c r="F140" s="2">
        <v>9</v>
      </c>
      <c r="G140" s="2">
        <v>374.31</v>
      </c>
      <c r="H140" s="2">
        <v>3368.79</v>
      </c>
      <c r="I140" s="2">
        <v>3328.79</v>
      </c>
      <c r="J140" s="2">
        <v>40</v>
      </c>
      <c r="K140" s="2" t="s">
        <v>25</v>
      </c>
      <c r="L140" s="2" t="s">
        <v>19</v>
      </c>
      <c r="M140" s="2">
        <f t="shared" si="12"/>
        <v>1</v>
      </c>
      <c r="N140" s="2">
        <f t="shared" si="13"/>
        <v>0</v>
      </c>
      <c r="O140" s="2">
        <f t="shared" si="14"/>
        <v>0</v>
      </c>
      <c r="P140" s="2" t="s">
        <v>20</v>
      </c>
      <c r="Q140" s="2" t="s">
        <v>28</v>
      </c>
    </row>
    <row r="141" spans="1:17">
      <c r="A141" s="1">
        <v>45579</v>
      </c>
      <c r="B141" s="2" t="s">
        <v>39</v>
      </c>
      <c r="C141" s="2" t="s">
        <v>40</v>
      </c>
      <c r="D141" s="2" t="s">
        <v>49</v>
      </c>
      <c r="E141" s="2" t="s">
        <v>24</v>
      </c>
      <c r="F141" s="2">
        <v>5</v>
      </c>
      <c r="G141" s="2">
        <v>158.87</v>
      </c>
      <c r="H141" s="2">
        <v>794.35</v>
      </c>
      <c r="I141" s="2">
        <v>734.35</v>
      </c>
      <c r="J141" s="2">
        <v>60</v>
      </c>
      <c r="K141" s="2" t="s">
        <v>32</v>
      </c>
      <c r="L141" s="2" t="s">
        <v>19</v>
      </c>
      <c r="M141" s="2">
        <f t="shared" si="12"/>
        <v>1</v>
      </c>
      <c r="N141" s="2">
        <f t="shared" si="13"/>
        <v>0</v>
      </c>
      <c r="O141" s="2">
        <f t="shared" si="14"/>
        <v>0</v>
      </c>
      <c r="P141" s="2" t="s">
        <v>27</v>
      </c>
      <c r="Q141" s="2" t="s">
        <v>35</v>
      </c>
    </row>
    <row r="142" spans="1:17">
      <c r="A142" s="1">
        <v>45544</v>
      </c>
      <c r="B142" s="2" t="s">
        <v>59</v>
      </c>
      <c r="C142" s="2" t="s">
        <v>30</v>
      </c>
      <c r="D142" s="2" t="s">
        <v>49</v>
      </c>
      <c r="E142" s="2" t="s">
        <v>46</v>
      </c>
      <c r="F142" s="2">
        <v>3</v>
      </c>
      <c r="G142" s="2">
        <v>174.34</v>
      </c>
      <c r="H142" s="2">
        <v>523.02</v>
      </c>
      <c r="I142" s="2">
        <v>457.52</v>
      </c>
      <c r="J142" s="2">
        <v>65.5</v>
      </c>
      <c r="K142" s="2" t="s">
        <v>18</v>
      </c>
      <c r="L142" s="2" t="s">
        <v>19</v>
      </c>
      <c r="M142" s="2">
        <f t="shared" si="12"/>
        <v>1</v>
      </c>
      <c r="N142" s="2">
        <f t="shared" si="13"/>
        <v>0</v>
      </c>
      <c r="O142" s="2">
        <f t="shared" si="14"/>
        <v>0</v>
      </c>
      <c r="P142" s="2" t="s">
        <v>34</v>
      </c>
      <c r="Q142" s="2" t="s">
        <v>21</v>
      </c>
    </row>
    <row r="143" spans="1:17">
      <c r="A143" s="1">
        <v>45438</v>
      </c>
      <c r="B143" s="2" t="s">
        <v>57</v>
      </c>
      <c r="C143" s="2" t="s">
        <v>30</v>
      </c>
      <c r="D143" s="2" t="s">
        <v>23</v>
      </c>
      <c r="E143" s="2" t="s">
        <v>46</v>
      </c>
      <c r="F143" s="2">
        <v>6</v>
      </c>
      <c r="G143" s="2">
        <v>237.96</v>
      </c>
      <c r="H143" s="2">
        <v>1427.76</v>
      </c>
      <c r="I143" s="2">
        <v>1378.76</v>
      </c>
      <c r="J143" s="2">
        <v>49</v>
      </c>
      <c r="K143" s="2" t="s">
        <v>25</v>
      </c>
      <c r="L143" s="2" t="s">
        <v>26</v>
      </c>
      <c r="M143" s="2">
        <f t="shared" si="12"/>
        <v>0</v>
      </c>
      <c r="N143" s="2">
        <f t="shared" si="13"/>
        <v>1</v>
      </c>
      <c r="O143" s="2">
        <f t="shared" si="14"/>
        <v>0</v>
      </c>
      <c r="P143" s="2" t="s">
        <v>37</v>
      </c>
      <c r="Q143" s="2" t="s">
        <v>28</v>
      </c>
    </row>
    <row r="144" spans="1:17">
      <c r="A144" s="1">
        <v>45578</v>
      </c>
      <c r="B144" s="2" t="s">
        <v>41</v>
      </c>
      <c r="C144" s="2" t="s">
        <v>30</v>
      </c>
      <c r="D144" s="2" t="s">
        <v>16</v>
      </c>
      <c r="E144" s="2" t="s">
        <v>17</v>
      </c>
      <c r="F144" s="2">
        <v>1</v>
      </c>
      <c r="G144" s="2">
        <v>347.92</v>
      </c>
      <c r="H144" s="2">
        <v>347.92</v>
      </c>
      <c r="I144" s="2">
        <v>307.92</v>
      </c>
      <c r="J144" s="2">
        <v>40</v>
      </c>
      <c r="K144" s="2" t="s">
        <v>32</v>
      </c>
      <c r="L144" s="2" t="s">
        <v>33</v>
      </c>
      <c r="M144" s="2">
        <f t="shared" si="12"/>
        <v>0</v>
      </c>
      <c r="N144" s="2">
        <f t="shared" si="13"/>
        <v>0</v>
      </c>
      <c r="O144" s="2">
        <f t="shared" si="14"/>
        <v>1</v>
      </c>
      <c r="P144" s="2" t="s">
        <v>20</v>
      </c>
      <c r="Q144" s="2" t="s">
        <v>35</v>
      </c>
    </row>
    <row r="145" spans="1:17">
      <c r="A145" s="1">
        <v>45497</v>
      </c>
      <c r="B145" s="2" t="s">
        <v>53</v>
      </c>
      <c r="C145" s="2" t="s">
        <v>40</v>
      </c>
      <c r="D145" s="2" t="s">
        <v>16</v>
      </c>
      <c r="E145" s="2" t="s">
        <v>46</v>
      </c>
      <c r="F145" s="2">
        <v>9</v>
      </c>
      <c r="G145" s="2">
        <v>227.15</v>
      </c>
      <c r="H145" s="2">
        <v>2044.35</v>
      </c>
      <c r="I145" s="2">
        <v>1984.35</v>
      </c>
      <c r="J145" s="2">
        <v>60</v>
      </c>
      <c r="K145" s="2" t="s">
        <v>18</v>
      </c>
      <c r="L145" s="2" t="s">
        <v>19</v>
      </c>
      <c r="M145" s="2">
        <f t="shared" si="12"/>
        <v>1</v>
      </c>
      <c r="N145" s="2">
        <f t="shared" si="13"/>
        <v>0</v>
      </c>
      <c r="O145" s="2">
        <f t="shared" si="14"/>
        <v>0</v>
      </c>
      <c r="P145" s="2" t="s">
        <v>27</v>
      </c>
      <c r="Q145" s="2" t="s">
        <v>21</v>
      </c>
    </row>
    <row r="146" spans="1:17">
      <c r="A146" s="1">
        <v>45561</v>
      </c>
      <c r="B146" s="2" t="s">
        <v>55</v>
      </c>
      <c r="C146" s="2" t="s">
        <v>44</v>
      </c>
      <c r="D146" s="2" t="s">
        <v>23</v>
      </c>
      <c r="E146" s="2" t="s">
        <v>31</v>
      </c>
      <c r="F146" s="2">
        <v>7</v>
      </c>
      <c r="G146" s="2">
        <v>459.54</v>
      </c>
      <c r="H146" s="2">
        <v>3216.78</v>
      </c>
      <c r="I146" s="2">
        <v>3151.28</v>
      </c>
      <c r="J146" s="2">
        <v>65.5</v>
      </c>
      <c r="K146" s="2" t="s">
        <v>25</v>
      </c>
      <c r="L146" s="2" t="s">
        <v>19</v>
      </c>
      <c r="M146" s="2">
        <f t="shared" si="12"/>
        <v>1</v>
      </c>
      <c r="N146" s="2">
        <f t="shared" si="13"/>
        <v>0</v>
      </c>
      <c r="O146" s="2">
        <f t="shared" si="14"/>
        <v>0</v>
      </c>
      <c r="P146" s="2" t="s">
        <v>34</v>
      </c>
      <c r="Q146" s="2" t="s">
        <v>28</v>
      </c>
    </row>
    <row r="147" spans="1:17">
      <c r="A147" s="1">
        <v>45617</v>
      </c>
      <c r="B147" s="2" t="s">
        <v>56</v>
      </c>
      <c r="C147" s="2" t="s">
        <v>52</v>
      </c>
      <c r="D147" s="2" t="s">
        <v>42</v>
      </c>
      <c r="E147" s="2" t="s">
        <v>24</v>
      </c>
      <c r="F147" s="2">
        <v>8</v>
      </c>
      <c r="G147" s="2">
        <v>103.76</v>
      </c>
      <c r="H147" s="2">
        <v>830.08</v>
      </c>
      <c r="I147" s="2">
        <v>781.08</v>
      </c>
      <c r="J147" s="2">
        <v>49</v>
      </c>
      <c r="K147" s="2" t="s">
        <v>32</v>
      </c>
      <c r="L147" s="2" t="s">
        <v>26</v>
      </c>
      <c r="M147" s="2">
        <f t="shared" si="12"/>
        <v>0</v>
      </c>
      <c r="N147" s="2">
        <f t="shared" si="13"/>
        <v>1</v>
      </c>
      <c r="O147" s="2">
        <f t="shared" si="14"/>
        <v>0</v>
      </c>
      <c r="P147" s="2" t="s">
        <v>37</v>
      </c>
      <c r="Q147" s="2" t="s">
        <v>35</v>
      </c>
    </row>
    <row r="148" spans="1:17">
      <c r="A148" s="1">
        <v>45529</v>
      </c>
      <c r="B148" s="2" t="s">
        <v>38</v>
      </c>
      <c r="C148" s="2" t="s">
        <v>15</v>
      </c>
      <c r="D148" s="2" t="s">
        <v>23</v>
      </c>
      <c r="E148" s="2" t="s">
        <v>31</v>
      </c>
      <c r="F148" s="2">
        <v>4</v>
      </c>
      <c r="G148" s="2">
        <v>162.47999999999999</v>
      </c>
      <c r="H148" s="2">
        <v>649.91999999999996</v>
      </c>
      <c r="I148" s="2">
        <v>609.91999999999996</v>
      </c>
      <c r="J148" s="2">
        <v>40</v>
      </c>
      <c r="K148" s="2" t="s">
        <v>18</v>
      </c>
      <c r="L148" s="2" t="s">
        <v>19</v>
      </c>
      <c r="M148" s="2">
        <f t="shared" si="12"/>
        <v>1</v>
      </c>
      <c r="N148" s="2">
        <f t="shared" si="13"/>
        <v>0</v>
      </c>
      <c r="O148" s="2">
        <f t="shared" si="14"/>
        <v>0</v>
      </c>
      <c r="P148" s="2" t="s">
        <v>20</v>
      </c>
      <c r="Q148" s="2" t="s">
        <v>21</v>
      </c>
    </row>
    <row r="149" spans="1:17">
      <c r="A149" s="1">
        <v>45334</v>
      </c>
      <c r="B149" s="2" t="s">
        <v>47</v>
      </c>
      <c r="C149" s="2" t="s">
        <v>44</v>
      </c>
      <c r="D149" s="2" t="s">
        <v>16</v>
      </c>
      <c r="E149" s="2" t="s">
        <v>24</v>
      </c>
      <c r="F149" s="2">
        <v>10</v>
      </c>
      <c r="G149" s="2">
        <v>276.17</v>
      </c>
      <c r="H149" s="2">
        <v>2761.7</v>
      </c>
      <c r="I149" s="2">
        <v>2701.7</v>
      </c>
      <c r="J149" s="2">
        <v>60</v>
      </c>
      <c r="K149" s="2" t="s">
        <v>25</v>
      </c>
      <c r="L149" s="2" t="s">
        <v>33</v>
      </c>
      <c r="M149" s="2">
        <f t="shared" si="12"/>
        <v>0</v>
      </c>
      <c r="N149" s="2">
        <f t="shared" si="13"/>
        <v>0</v>
      </c>
      <c r="O149" s="2">
        <f t="shared" si="14"/>
        <v>1</v>
      </c>
      <c r="P149" s="2" t="s">
        <v>27</v>
      </c>
      <c r="Q149" s="2" t="s">
        <v>28</v>
      </c>
    </row>
    <row r="150" spans="1:17">
      <c r="A150" s="1">
        <v>45356</v>
      </c>
      <c r="B150" s="2" t="s">
        <v>60</v>
      </c>
      <c r="C150" s="2" t="s">
        <v>52</v>
      </c>
      <c r="D150" s="2" t="s">
        <v>23</v>
      </c>
      <c r="E150" s="2" t="s">
        <v>17</v>
      </c>
      <c r="F150" s="2">
        <v>1</v>
      </c>
      <c r="G150" s="2">
        <v>154.79</v>
      </c>
      <c r="H150" s="2">
        <v>154.79</v>
      </c>
      <c r="I150" s="2">
        <v>89.289999999999992</v>
      </c>
      <c r="J150" s="2">
        <v>65.5</v>
      </c>
      <c r="K150" s="2" t="s">
        <v>32</v>
      </c>
      <c r="L150" s="2" t="s">
        <v>19</v>
      </c>
      <c r="M150" s="2">
        <f t="shared" si="12"/>
        <v>1</v>
      </c>
      <c r="N150" s="2">
        <f t="shared" si="13"/>
        <v>0</v>
      </c>
      <c r="O150" s="2">
        <f t="shared" si="14"/>
        <v>0</v>
      </c>
      <c r="P150" s="2" t="s">
        <v>34</v>
      </c>
      <c r="Q150" s="2" t="s">
        <v>35</v>
      </c>
    </row>
    <row r="151" spans="1:17">
      <c r="A151" s="1">
        <v>45555</v>
      </c>
      <c r="B151" s="2" t="s">
        <v>14</v>
      </c>
      <c r="C151" s="2" t="s">
        <v>15</v>
      </c>
      <c r="D151" s="2" t="s">
        <v>16</v>
      </c>
      <c r="E151" s="2" t="s">
        <v>46</v>
      </c>
      <c r="F151" s="2">
        <v>6</v>
      </c>
      <c r="G151" s="2">
        <v>482.61</v>
      </c>
      <c r="H151" s="2">
        <v>2895.66</v>
      </c>
      <c r="I151" s="2">
        <v>2846.66</v>
      </c>
      <c r="J151" s="2">
        <v>49</v>
      </c>
      <c r="K151" s="2" t="s">
        <v>18</v>
      </c>
      <c r="L151" s="2" t="s">
        <v>26</v>
      </c>
      <c r="M151" s="2">
        <f t="shared" si="12"/>
        <v>0</v>
      </c>
      <c r="N151" s="2">
        <f t="shared" si="13"/>
        <v>1</v>
      </c>
      <c r="O151" s="2">
        <f t="shared" si="14"/>
        <v>0</v>
      </c>
      <c r="P151" s="2" t="s">
        <v>37</v>
      </c>
      <c r="Q151" s="2" t="s">
        <v>21</v>
      </c>
    </row>
    <row r="152" spans="1:17">
      <c r="A152" s="1">
        <v>45610</v>
      </c>
      <c r="B152" s="2" t="s">
        <v>59</v>
      </c>
      <c r="C152" s="2" t="s">
        <v>30</v>
      </c>
      <c r="D152" s="2" t="s">
        <v>42</v>
      </c>
      <c r="E152" s="2" t="s">
        <v>46</v>
      </c>
      <c r="F152" s="2">
        <v>1</v>
      </c>
      <c r="G152" s="2">
        <v>96.33</v>
      </c>
      <c r="H152" s="2">
        <v>96.33</v>
      </c>
      <c r="I152" s="2">
        <v>56.33</v>
      </c>
      <c r="J152" s="2">
        <v>40</v>
      </c>
      <c r="K152" s="2" t="s">
        <v>25</v>
      </c>
      <c r="L152" s="2" t="s">
        <v>33</v>
      </c>
      <c r="M152" s="2">
        <f t="shared" si="12"/>
        <v>0</v>
      </c>
      <c r="N152" s="2">
        <f t="shared" si="13"/>
        <v>0</v>
      </c>
      <c r="O152" s="2">
        <f t="shared" si="14"/>
        <v>1</v>
      </c>
      <c r="P152" s="2" t="s">
        <v>20</v>
      </c>
      <c r="Q152" s="2" t="s">
        <v>28</v>
      </c>
    </row>
    <row r="153" spans="1:17">
      <c r="A153" s="1">
        <v>45604</v>
      </c>
      <c r="B153" s="2" t="s">
        <v>60</v>
      </c>
      <c r="C153" s="2" t="s">
        <v>52</v>
      </c>
      <c r="D153" s="2" t="s">
        <v>23</v>
      </c>
      <c r="E153" s="2" t="s">
        <v>46</v>
      </c>
      <c r="F153" s="2">
        <v>6</v>
      </c>
      <c r="G153" s="2">
        <v>465.34</v>
      </c>
      <c r="H153" s="2">
        <v>2792.04</v>
      </c>
      <c r="I153" s="2">
        <v>2732.04</v>
      </c>
      <c r="J153" s="2">
        <v>60</v>
      </c>
      <c r="K153" s="2" t="s">
        <v>32</v>
      </c>
      <c r="L153" s="2" t="s">
        <v>19</v>
      </c>
      <c r="M153" s="2">
        <f t="shared" si="12"/>
        <v>1</v>
      </c>
      <c r="N153" s="2">
        <f t="shared" si="13"/>
        <v>0</v>
      </c>
      <c r="O153" s="2">
        <f t="shared" si="14"/>
        <v>0</v>
      </c>
      <c r="P153" s="2" t="s">
        <v>27</v>
      </c>
      <c r="Q153" s="2" t="s">
        <v>35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B33DF-4587-4117-8FDA-FE0952EAE106}">
  <sheetPr>
    <tabColor rgb="FFFF6600"/>
  </sheetPr>
  <dimension ref="A1:AE34"/>
  <sheetViews>
    <sheetView zoomScale="73" zoomScaleNormal="73" workbookViewId="0">
      <selection activeCell="A12" sqref="A12"/>
    </sheetView>
  </sheetViews>
  <sheetFormatPr defaultRowHeight="15"/>
  <cols>
    <col min="1" max="1" width="7.42578125" style="7" customWidth="1"/>
    <col min="2" max="2" width="14.42578125" style="7" bestFit="1" customWidth="1"/>
    <col min="3" max="3" width="13.85546875" style="7" bestFit="1" customWidth="1"/>
    <col min="4" max="4" width="6.85546875" style="7" customWidth="1"/>
    <col min="5" max="5" width="14.42578125" style="7" bestFit="1" customWidth="1"/>
    <col min="6" max="6" width="18" style="7" bestFit="1" customWidth="1"/>
    <col min="7" max="7" width="6.85546875" style="7" customWidth="1"/>
    <col min="8" max="8" width="14.42578125" style="7" bestFit="1" customWidth="1"/>
    <col min="9" max="9" width="18" style="7" bestFit="1" customWidth="1"/>
    <col min="10" max="10" width="6.85546875" style="7" customWidth="1"/>
    <col min="11" max="11" width="14.42578125" style="7" bestFit="1" customWidth="1"/>
    <col min="12" max="12" width="18" style="7" bestFit="1" customWidth="1"/>
    <col min="13" max="13" width="6.85546875" style="7" customWidth="1"/>
    <col min="14" max="14" width="12.42578125" style="7" bestFit="1" customWidth="1"/>
    <col min="15" max="15" width="18" style="7" bestFit="1" customWidth="1"/>
    <col min="16" max="16" width="6.85546875" style="7" customWidth="1"/>
    <col min="17" max="17" width="14.42578125" style="7" bestFit="1" customWidth="1"/>
    <col min="18" max="18" width="18" style="7" bestFit="1" customWidth="1"/>
    <col min="19" max="19" width="6.85546875" style="7" customWidth="1"/>
    <col min="20" max="20" width="14.42578125" style="7" bestFit="1" customWidth="1"/>
    <col min="21" max="21" width="24.42578125" style="7" bestFit="1" customWidth="1"/>
    <col min="22" max="22" width="21.85546875" style="7" bestFit="1" customWidth="1"/>
    <col min="23" max="23" width="23" style="7" customWidth="1"/>
    <col min="24" max="24" width="15.140625" style="7" bestFit="1" customWidth="1"/>
    <col min="25" max="25" width="19.42578125" style="7" customWidth="1"/>
    <col min="26" max="26" width="23.140625" style="7" customWidth="1"/>
    <col min="27" max="27" width="24" style="7" bestFit="1" customWidth="1"/>
    <col min="28" max="28" width="17.7109375" style="7" customWidth="1"/>
    <col min="29" max="29" width="24.7109375" style="7" customWidth="1"/>
    <col min="30" max="30" width="28.140625" style="7" customWidth="1"/>
    <col min="31" max="31" width="29.85546875" style="7" customWidth="1"/>
    <col min="32" max="16384" width="9.140625" style="7"/>
  </cols>
  <sheetData>
    <row r="1" spans="1:31">
      <c r="A1" s="8">
        <f ca="1">NOW()</f>
        <v>45946.03569340278</v>
      </c>
    </row>
    <row r="3" spans="1:31">
      <c r="B3" s="18" t="s">
        <v>65</v>
      </c>
      <c r="C3" s="18"/>
      <c r="E3" s="18" t="s">
        <v>66</v>
      </c>
      <c r="F3" s="18"/>
      <c r="H3" s="18" t="s">
        <v>67</v>
      </c>
      <c r="I3" s="18"/>
      <c r="K3" s="18" t="s">
        <v>68</v>
      </c>
      <c r="L3" s="18"/>
      <c r="N3" s="18" t="s">
        <v>69</v>
      </c>
      <c r="O3" s="18"/>
      <c r="Q3" s="18" t="s">
        <v>82</v>
      </c>
      <c r="R3" s="18"/>
      <c r="T3" s="18" t="s">
        <v>11</v>
      </c>
      <c r="U3" s="18"/>
      <c r="V3" s="18"/>
      <c r="X3" s="22" t="s">
        <v>92</v>
      </c>
      <c r="Y3" s="22"/>
      <c r="Z3" s="22"/>
      <c r="AA3" s="22"/>
      <c r="AB3" s="22"/>
      <c r="AC3" s="22"/>
      <c r="AD3" s="22"/>
      <c r="AE3" s="22"/>
    </row>
    <row r="5" spans="1:31">
      <c r="B5" s="9" t="s">
        <v>61</v>
      </c>
      <c r="C5" s="7" t="s">
        <v>64</v>
      </c>
      <c r="E5" s="9" t="s">
        <v>61</v>
      </c>
      <c r="F5" s="7" t="s">
        <v>63</v>
      </c>
      <c r="H5" s="9" t="s">
        <v>61</v>
      </c>
      <c r="I5" s="7" t="s">
        <v>63</v>
      </c>
      <c r="K5" s="9" t="s">
        <v>61</v>
      </c>
      <c r="L5" s="7" t="s">
        <v>63</v>
      </c>
      <c r="O5" s="7" t="s">
        <v>63</v>
      </c>
      <c r="Q5" s="9" t="s">
        <v>61</v>
      </c>
      <c r="R5" s="7" t="s">
        <v>63</v>
      </c>
      <c r="T5" s="9" t="s">
        <v>61</v>
      </c>
      <c r="U5" s="7" t="s">
        <v>83</v>
      </c>
      <c r="V5" s="7" t="s">
        <v>84</v>
      </c>
      <c r="X5" s="29" t="s">
        <v>61</v>
      </c>
      <c r="Y5" s="30" t="s">
        <v>63</v>
      </c>
      <c r="Z5" s="30" t="s">
        <v>86</v>
      </c>
      <c r="AA5" s="30" t="s">
        <v>87</v>
      </c>
      <c r="AB5" s="30" t="s">
        <v>88</v>
      </c>
      <c r="AC5" s="30" t="s">
        <v>91</v>
      </c>
      <c r="AD5" s="30" t="s">
        <v>96</v>
      </c>
      <c r="AE5" s="30" t="s">
        <v>95</v>
      </c>
    </row>
    <row r="6" spans="1:31">
      <c r="B6" s="10" t="s">
        <v>24</v>
      </c>
      <c r="C6" s="19">
        <v>2101</v>
      </c>
      <c r="E6" s="10" t="s">
        <v>52</v>
      </c>
      <c r="F6" s="19">
        <v>29182.060000000009</v>
      </c>
      <c r="H6" s="10" t="s">
        <v>24</v>
      </c>
      <c r="I6" s="19">
        <v>60100.989999999983</v>
      </c>
      <c r="J6" s="19"/>
      <c r="K6" s="10" t="s">
        <v>20</v>
      </c>
      <c r="L6" s="19">
        <v>48098.529999999992</v>
      </c>
      <c r="N6" s="10" t="s">
        <v>70</v>
      </c>
      <c r="O6" s="19">
        <v>24528.94</v>
      </c>
      <c r="Q6" s="10" t="s">
        <v>42</v>
      </c>
      <c r="R6" s="19">
        <v>45222.759999999995</v>
      </c>
      <c r="T6" s="10" t="s">
        <v>33</v>
      </c>
      <c r="U6" s="20">
        <v>37</v>
      </c>
      <c r="V6" s="20">
        <v>192</v>
      </c>
      <c r="X6" s="21" t="s">
        <v>24</v>
      </c>
      <c r="Y6" s="23">
        <v>60100.990000000005</v>
      </c>
      <c r="Z6" s="24">
        <v>3.4957826817827789E-2</v>
      </c>
      <c r="AA6" s="25">
        <v>275.69261467889913</v>
      </c>
      <c r="AB6" s="28">
        <v>39</v>
      </c>
      <c r="AC6" s="28">
        <v>17</v>
      </c>
      <c r="AD6" s="28">
        <v>17</v>
      </c>
      <c r="AE6" s="24">
        <v>0.17948717948717949</v>
      </c>
    </row>
    <row r="7" spans="1:31">
      <c r="B7" s="10" t="s">
        <v>46</v>
      </c>
      <c r="C7" s="19">
        <v>2145</v>
      </c>
      <c r="E7" s="10" t="s">
        <v>30</v>
      </c>
      <c r="F7" s="19">
        <v>27014.35</v>
      </c>
      <c r="H7" s="10" t="s">
        <v>46</v>
      </c>
      <c r="I7" s="19">
        <v>50329.01</v>
      </c>
      <c r="J7" s="19"/>
      <c r="K7" s="10" t="s">
        <v>34</v>
      </c>
      <c r="L7" s="19">
        <v>43679.88</v>
      </c>
      <c r="N7" s="10" t="s">
        <v>71</v>
      </c>
      <c r="O7" s="19">
        <v>15451.27</v>
      </c>
      <c r="Q7" s="10" t="s">
        <v>23</v>
      </c>
      <c r="R7" s="19">
        <v>39607.439999999995</v>
      </c>
      <c r="T7" s="10" t="s">
        <v>19</v>
      </c>
      <c r="U7" s="20">
        <v>71</v>
      </c>
      <c r="V7" s="20">
        <v>373</v>
      </c>
      <c r="X7" s="21" t="s">
        <v>33</v>
      </c>
      <c r="Y7" s="23">
        <v>11980.630000000001</v>
      </c>
      <c r="Z7" s="24">
        <v>3.2761215395183722E-2</v>
      </c>
      <c r="AA7" s="25">
        <v>266.23622222222224</v>
      </c>
      <c r="AB7" s="28">
        <v>7</v>
      </c>
      <c r="AC7" s="28">
        <v>0</v>
      </c>
      <c r="AD7" s="28">
        <v>0</v>
      </c>
      <c r="AE7" s="24">
        <v>1</v>
      </c>
    </row>
    <row r="8" spans="1:31">
      <c r="B8" s="10" t="s">
        <v>31</v>
      </c>
      <c r="C8" s="19">
        <v>2167</v>
      </c>
      <c r="E8" s="10" t="s">
        <v>40</v>
      </c>
      <c r="F8" s="19">
        <v>39309.78</v>
      </c>
      <c r="H8" s="10" t="s">
        <v>31</v>
      </c>
      <c r="I8" s="19">
        <v>67158.789999999994</v>
      </c>
      <c r="J8" s="19"/>
      <c r="K8" s="10" t="s">
        <v>37</v>
      </c>
      <c r="L8" s="19">
        <v>52442.060000000012</v>
      </c>
      <c r="N8" s="10" t="s">
        <v>72</v>
      </c>
      <c r="O8" s="19">
        <v>17672.21</v>
      </c>
      <c r="Q8" s="10" t="s">
        <v>16</v>
      </c>
      <c r="R8" s="19">
        <v>35076.949999999997</v>
      </c>
      <c r="T8" s="10" t="s">
        <v>26</v>
      </c>
      <c r="U8" s="20">
        <v>42</v>
      </c>
      <c r="V8" s="20">
        <v>235</v>
      </c>
      <c r="X8" s="21" t="s">
        <v>19</v>
      </c>
      <c r="Y8" s="23">
        <v>27346.09</v>
      </c>
      <c r="Z8" s="24">
        <v>3.263720700107401E-2</v>
      </c>
      <c r="AA8" s="25">
        <v>325.54869047619047</v>
      </c>
      <c r="AB8" s="28">
        <v>17</v>
      </c>
      <c r="AC8" s="28">
        <v>17</v>
      </c>
      <c r="AD8" s="28">
        <v>17</v>
      </c>
      <c r="AE8" s="24">
        <v>0</v>
      </c>
    </row>
    <row r="9" spans="1:31">
      <c r="B9" s="10" t="s">
        <v>17</v>
      </c>
      <c r="C9" s="19">
        <v>1623.5</v>
      </c>
      <c r="E9" s="10" t="s">
        <v>15</v>
      </c>
      <c r="F9" s="19">
        <v>51359.740000000005</v>
      </c>
      <c r="H9" s="10" t="s">
        <v>17</v>
      </c>
      <c r="I9" s="19">
        <v>31182.520000000004</v>
      </c>
      <c r="J9" s="19"/>
      <c r="K9" s="10" t="s">
        <v>27</v>
      </c>
      <c r="L9" s="19">
        <v>64550.840000000004</v>
      </c>
      <c r="N9" s="10" t="s">
        <v>73</v>
      </c>
      <c r="O9" s="19">
        <v>25578.950000000004</v>
      </c>
      <c r="Q9" s="10" t="s">
        <v>49</v>
      </c>
      <c r="R9" s="19">
        <v>33153.1</v>
      </c>
      <c r="T9" s="10" t="s">
        <v>62</v>
      </c>
      <c r="U9" s="20">
        <v>150</v>
      </c>
      <c r="V9" s="20">
        <v>800</v>
      </c>
      <c r="X9" s="21" t="s">
        <v>26</v>
      </c>
      <c r="Y9" s="23">
        <v>20774.27</v>
      </c>
      <c r="Z9" s="24">
        <v>3.9279358552671166E-2</v>
      </c>
      <c r="AA9" s="25">
        <v>233.41876404494383</v>
      </c>
      <c r="AB9" s="28">
        <v>15</v>
      </c>
      <c r="AC9" s="28">
        <v>0</v>
      </c>
      <c r="AD9" s="28">
        <v>0</v>
      </c>
      <c r="AE9" s="24">
        <v>0</v>
      </c>
    </row>
    <row r="10" spans="1:31">
      <c r="B10" s="10" t="s">
        <v>62</v>
      </c>
      <c r="C10" s="19">
        <v>8036.5</v>
      </c>
      <c r="E10" s="10" t="s">
        <v>44</v>
      </c>
      <c r="F10" s="19">
        <v>61905.38</v>
      </c>
      <c r="H10" s="10" t="s">
        <v>62</v>
      </c>
      <c r="I10" s="19">
        <v>208771.31</v>
      </c>
      <c r="J10" s="19"/>
      <c r="K10" s="10" t="s">
        <v>62</v>
      </c>
      <c r="L10" s="19">
        <v>208771.31</v>
      </c>
      <c r="N10" s="10" t="s">
        <v>74</v>
      </c>
      <c r="O10" s="19">
        <v>20630.37</v>
      </c>
      <c r="Q10" s="10" t="s">
        <v>48</v>
      </c>
      <c r="R10" s="19">
        <v>55711.05999999999</v>
      </c>
      <c r="X10" s="21" t="s">
        <v>46</v>
      </c>
      <c r="Y10" s="23">
        <v>50329.009999999995</v>
      </c>
      <c r="Z10" s="24">
        <v>4.2619554805469057E-2</v>
      </c>
      <c r="AA10" s="25">
        <v>246.71083333333331</v>
      </c>
      <c r="AB10" s="28">
        <v>41</v>
      </c>
      <c r="AC10" s="28">
        <v>18</v>
      </c>
      <c r="AD10" s="28">
        <v>18</v>
      </c>
      <c r="AE10" s="24">
        <v>0.26829268292682928</v>
      </c>
    </row>
    <row r="11" spans="1:31">
      <c r="C11" s="12"/>
      <c r="E11" s="10" t="s">
        <v>62</v>
      </c>
      <c r="F11" s="19">
        <v>208771.31</v>
      </c>
      <c r="I11" s="12"/>
      <c r="L11" s="12"/>
      <c r="N11" s="10" t="s">
        <v>75</v>
      </c>
      <c r="O11" s="19">
        <v>17614.050000000003</v>
      </c>
      <c r="Q11" s="10" t="s">
        <v>62</v>
      </c>
      <c r="R11" s="19">
        <v>208771.30999999997</v>
      </c>
      <c r="X11" s="21" t="s">
        <v>33</v>
      </c>
      <c r="Y11" s="23">
        <v>9053.74</v>
      </c>
      <c r="Z11" s="24">
        <v>6.3012633453136499E-2</v>
      </c>
      <c r="AA11" s="25">
        <v>232.14717948717947</v>
      </c>
      <c r="AB11" s="28">
        <v>11</v>
      </c>
      <c r="AC11" s="28">
        <v>0</v>
      </c>
      <c r="AD11" s="28">
        <v>0</v>
      </c>
      <c r="AE11" s="24">
        <v>1</v>
      </c>
    </row>
    <row r="12" spans="1:31">
      <c r="C12" s="12"/>
      <c r="F12" s="12"/>
      <c r="L12" s="12"/>
      <c r="N12" s="10" t="s">
        <v>76</v>
      </c>
      <c r="O12" s="19">
        <v>15549.45</v>
      </c>
      <c r="R12" s="12"/>
      <c r="T12" s="7" t="str" cm="1">
        <f t="array" ref="T12:V12">IFERROR(_xlfn._xlws.FILTER(T6:V9, T6:T9=T6), "")</f>
        <v>Cancelled</v>
      </c>
      <c r="U12" s="13">
        <v>37</v>
      </c>
      <c r="V12" s="7">
        <v>192</v>
      </c>
      <c r="X12" s="21" t="s">
        <v>19</v>
      </c>
      <c r="Y12" s="23">
        <v>26496.84</v>
      </c>
      <c r="Z12" s="24">
        <v>3.451354954024706E-2</v>
      </c>
      <c r="AA12" s="25">
        <v>267.64484848484847</v>
      </c>
      <c r="AB12" s="28">
        <v>18</v>
      </c>
      <c r="AC12" s="28">
        <v>18</v>
      </c>
      <c r="AD12" s="28">
        <v>18</v>
      </c>
      <c r="AE12" s="24">
        <v>0</v>
      </c>
    </row>
    <row r="13" spans="1:31">
      <c r="C13" s="12"/>
      <c r="K13" s="14" t="str" cm="1">
        <f t="array" ref="K13:L17">_xlfn.SORTBY(_xlfn._xlws.FILTER(K6:L10, K6:K10&lt;&gt;""), L6:L10, -1)</f>
        <v>Grand Total</v>
      </c>
      <c r="L13" s="15">
        <v>208771.31</v>
      </c>
      <c r="N13" s="10" t="s">
        <v>77</v>
      </c>
      <c r="O13" s="19">
        <v>13249.36</v>
      </c>
      <c r="Q13" s="14"/>
      <c r="R13" s="15"/>
      <c r="T13" s="7" t="str" cm="1">
        <f t="array" ref="T13:V13">IFERROR(_xlfn._xlws.FILTER(T7:V10, T7:T10=T7), "")</f>
        <v>Completed</v>
      </c>
      <c r="U13" s="13">
        <v>71</v>
      </c>
      <c r="V13" s="7">
        <v>373</v>
      </c>
      <c r="X13" s="21" t="s">
        <v>26</v>
      </c>
      <c r="Y13" s="23">
        <v>14778.429999999998</v>
      </c>
      <c r="Z13" s="24">
        <v>4.4659683065115856E-2</v>
      </c>
      <c r="AA13" s="25">
        <v>223.91560606060602</v>
      </c>
      <c r="AB13" s="28">
        <v>12</v>
      </c>
      <c r="AC13" s="28">
        <v>0</v>
      </c>
      <c r="AD13" s="28">
        <v>0</v>
      </c>
      <c r="AE13" s="24">
        <v>0</v>
      </c>
    </row>
    <row r="14" spans="1:31">
      <c r="C14" s="12"/>
      <c r="F14" s="12"/>
      <c r="K14" s="7" t="str">
        <v>Tom Brown</v>
      </c>
      <c r="L14" s="12">
        <v>64550.840000000004</v>
      </c>
      <c r="N14" s="10" t="s">
        <v>78</v>
      </c>
      <c r="O14" s="19">
        <v>33596.710000000006</v>
      </c>
      <c r="Q14" s="7" t="str" cm="1">
        <f t="array" ref="Q14:R17">_xlfn.TAKE(_xlfn.SORTBY(Q6:R10, R6:R10, -1), 4)</f>
        <v>Eve</v>
      </c>
      <c r="R14" s="12">
        <v>55711.05999999999</v>
      </c>
      <c r="T14" s="7" t="str" cm="1">
        <f t="array" ref="T14:V14">IFERROR(_xlfn._xlws.FILTER(T8:V11, T8:T11=T8), "")</f>
        <v>Pending</v>
      </c>
      <c r="U14" s="13">
        <v>42</v>
      </c>
      <c r="V14" s="7">
        <v>235</v>
      </c>
      <c r="X14" s="21" t="s">
        <v>31</v>
      </c>
      <c r="Y14" s="23">
        <v>67158.789999999994</v>
      </c>
      <c r="Z14" s="24">
        <v>3.2266811239452055E-2</v>
      </c>
      <c r="AA14" s="25">
        <v>301.16049327354256</v>
      </c>
      <c r="AB14" s="28">
        <v>40</v>
      </c>
      <c r="AC14" s="28">
        <v>20</v>
      </c>
      <c r="AD14" s="28">
        <v>20</v>
      </c>
      <c r="AE14" s="24">
        <v>0.32500000000000001</v>
      </c>
    </row>
    <row r="15" spans="1:31">
      <c r="C15" s="12"/>
      <c r="F15" s="12"/>
      <c r="K15" s="7" t="str">
        <v>Sarah Johnson</v>
      </c>
      <c r="L15" s="12">
        <v>52442.060000000012</v>
      </c>
      <c r="N15" s="10" t="s">
        <v>79</v>
      </c>
      <c r="O15" s="19">
        <v>10508.74</v>
      </c>
      <c r="Q15" s="7" t="str">
        <v>Alice</v>
      </c>
      <c r="R15" s="12">
        <v>45222.759999999995</v>
      </c>
      <c r="T15" s="14" t="str" cm="1">
        <f t="array" ref="T15:V15">IFERROR(_xlfn._xlws.FILTER(T9:V12, T9:T12=T9), "")</f>
        <v>Grand Total</v>
      </c>
      <c r="U15" s="16">
        <v>150</v>
      </c>
      <c r="V15" s="14">
        <v>800</v>
      </c>
      <c r="X15" s="21" t="s">
        <v>33</v>
      </c>
      <c r="Y15" s="23">
        <v>20917.269999999997</v>
      </c>
      <c r="Z15" s="24">
        <v>3.3632496018839941E-2</v>
      </c>
      <c r="AA15" s="25">
        <v>278.89693333333327</v>
      </c>
      <c r="AB15" s="28">
        <v>13</v>
      </c>
      <c r="AC15" s="28">
        <v>0</v>
      </c>
      <c r="AD15" s="28">
        <v>0</v>
      </c>
      <c r="AE15" s="24">
        <v>1</v>
      </c>
    </row>
    <row r="16" spans="1:31">
      <c r="C16" s="12"/>
      <c r="F16" s="12"/>
      <c r="K16" s="7" t="str">
        <v>Lisa White</v>
      </c>
      <c r="L16" s="12">
        <v>48098.529999999992</v>
      </c>
      <c r="N16" s="10" t="s">
        <v>80</v>
      </c>
      <c r="O16" s="19">
        <v>9270.7799999999988</v>
      </c>
      <c r="Q16" s="7" t="str">
        <v>Bob</v>
      </c>
      <c r="R16" s="12">
        <v>39607.439999999995</v>
      </c>
      <c r="U16" s="12"/>
      <c r="X16" s="21" t="s">
        <v>19</v>
      </c>
      <c r="Y16" s="23">
        <v>34540.03</v>
      </c>
      <c r="Z16" s="24">
        <v>3.1687870566412361E-2</v>
      </c>
      <c r="AA16" s="25">
        <v>305.66398230088492</v>
      </c>
      <c r="AB16" s="28">
        <v>20</v>
      </c>
      <c r="AC16" s="28">
        <v>20</v>
      </c>
      <c r="AD16" s="28">
        <v>20</v>
      </c>
      <c r="AE16" s="24">
        <v>0</v>
      </c>
    </row>
    <row r="17" spans="2:31">
      <c r="B17" s="14"/>
      <c r="C17" s="15"/>
      <c r="F17" s="12"/>
      <c r="K17" s="7" t="str">
        <v>Mark Davis</v>
      </c>
      <c r="L17" s="12">
        <v>43679.88</v>
      </c>
      <c r="N17" s="10" t="s">
        <v>81</v>
      </c>
      <c r="O17" s="19">
        <v>5120.4799999999996</v>
      </c>
      <c r="Q17" s="7" t="str">
        <v>Charlie</v>
      </c>
      <c r="R17" s="12">
        <v>35076.949999999997</v>
      </c>
      <c r="X17" s="21" t="s">
        <v>26</v>
      </c>
      <c r="Y17" s="23">
        <v>11701.489999999998</v>
      </c>
      <c r="Z17" s="24">
        <v>3.1534445613336425E-2</v>
      </c>
      <c r="AA17" s="25">
        <v>334.32828571428564</v>
      </c>
      <c r="AB17" s="28">
        <v>7</v>
      </c>
      <c r="AC17" s="28">
        <v>0</v>
      </c>
      <c r="AD17" s="28">
        <v>0</v>
      </c>
      <c r="AE17" s="24">
        <v>0</v>
      </c>
    </row>
    <row r="18" spans="2:31">
      <c r="F18" s="12"/>
      <c r="I18" s="12"/>
      <c r="N18" s="10" t="s">
        <v>62</v>
      </c>
      <c r="O18" s="19">
        <v>208771.31</v>
      </c>
      <c r="X18" s="21" t="s">
        <v>17</v>
      </c>
      <c r="Y18" s="23">
        <v>31182.52</v>
      </c>
      <c r="Z18" s="24">
        <v>5.2064425838578794E-2</v>
      </c>
      <c r="AA18" s="25">
        <v>201.17754838709678</v>
      </c>
      <c r="AB18" s="28">
        <v>30</v>
      </c>
      <c r="AC18" s="28">
        <v>16</v>
      </c>
      <c r="AD18" s="28">
        <v>16</v>
      </c>
      <c r="AE18" s="24">
        <v>0.2</v>
      </c>
    </row>
    <row r="19" spans="2:31">
      <c r="E19" s="14"/>
      <c r="F19" s="15"/>
      <c r="X19" s="21" t="s">
        <v>33</v>
      </c>
      <c r="Y19" s="23">
        <v>10526.85</v>
      </c>
      <c r="Z19" s="24">
        <v>2.8308563340410473E-2</v>
      </c>
      <c r="AA19" s="25">
        <v>318.99545454545455</v>
      </c>
      <c r="AB19" s="28">
        <v>6</v>
      </c>
      <c r="AC19" s="28">
        <v>0</v>
      </c>
      <c r="AD19" s="28">
        <v>0</v>
      </c>
      <c r="AE19" s="24">
        <v>1</v>
      </c>
    </row>
    <row r="20" spans="2:31">
      <c r="X20" s="21" t="s">
        <v>19</v>
      </c>
      <c r="Y20" s="23">
        <v>10103.34</v>
      </c>
      <c r="Z20" s="24">
        <v>8.4575991701754075E-2</v>
      </c>
      <c r="AA20" s="25">
        <v>131.21220779220781</v>
      </c>
      <c r="AB20" s="28">
        <v>16</v>
      </c>
      <c r="AC20" s="28">
        <v>16</v>
      </c>
      <c r="AD20" s="28">
        <v>16</v>
      </c>
      <c r="AE20" s="24">
        <v>0</v>
      </c>
    </row>
    <row r="21" spans="2:31">
      <c r="X21" s="21" t="s">
        <v>26</v>
      </c>
      <c r="Y21" s="23">
        <v>10552.330000000002</v>
      </c>
      <c r="Z21" s="24">
        <v>4.4634692053792849E-2</v>
      </c>
      <c r="AA21" s="25">
        <v>234.49622222222226</v>
      </c>
      <c r="AB21" s="28">
        <v>8</v>
      </c>
      <c r="AC21" s="28">
        <v>0</v>
      </c>
      <c r="AD21" s="28">
        <v>0</v>
      </c>
      <c r="AE21" s="24">
        <v>0</v>
      </c>
    </row>
    <row r="22" spans="2:31">
      <c r="O22" s="11"/>
      <c r="X22" s="21" t="s">
        <v>62</v>
      </c>
      <c r="Y22" s="23">
        <v>208771.31</v>
      </c>
      <c r="Z22" s="24">
        <v>3.8494273949806611E-2</v>
      </c>
      <c r="AA22" s="25">
        <v>260.96413749999999</v>
      </c>
      <c r="AB22" s="28">
        <v>150</v>
      </c>
      <c r="AC22" s="28">
        <v>71</v>
      </c>
      <c r="AD22" s="28">
        <v>71</v>
      </c>
      <c r="AE22" s="24">
        <v>0.24666666666666667</v>
      </c>
    </row>
    <row r="23" spans="2:31">
      <c r="O23" s="11"/>
      <c r="X23" s="21"/>
      <c r="Y23" s="21"/>
      <c r="Z23" s="21"/>
      <c r="AA23" s="21"/>
      <c r="AB23" s="21"/>
    </row>
    <row r="24" spans="2:31">
      <c r="O24" s="11"/>
    </row>
    <row r="25" spans="2:31">
      <c r="O25" s="11"/>
    </row>
    <row r="26" spans="2:31">
      <c r="O26" s="11"/>
    </row>
    <row r="27" spans="2:31">
      <c r="O27" s="11"/>
    </row>
    <row r="28" spans="2:31">
      <c r="O28" s="11"/>
    </row>
    <row r="29" spans="2:31">
      <c r="O29" s="11"/>
    </row>
    <row r="30" spans="2:31">
      <c r="O30" s="11"/>
    </row>
    <row r="31" spans="2:31">
      <c r="O31" s="11"/>
    </row>
    <row r="32" spans="2:31">
      <c r="O32" s="11"/>
    </row>
    <row r="33" spans="15:15">
      <c r="O33" s="11"/>
    </row>
    <row r="34" spans="15:15">
      <c r="O34" s="11"/>
    </row>
  </sheetData>
  <mergeCells count="8">
    <mergeCell ref="X3:AE3"/>
    <mergeCell ref="Q3:R3"/>
    <mergeCell ref="T3:V3"/>
    <mergeCell ref="B3:C3"/>
    <mergeCell ref="E3:F3"/>
    <mergeCell ref="H3:I3"/>
    <mergeCell ref="K3:L3"/>
    <mergeCell ref="N3:O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1F9A8-7AC1-47F2-8A12-ED572EE7D0D3}">
  <sheetPr>
    <tabColor rgb="FF022213"/>
  </sheetPr>
  <dimension ref="A1"/>
  <sheetViews>
    <sheetView showGridLines="0" zoomScale="82" zoomScaleNormal="82" workbookViewId="0">
      <selection activeCell="Y4" sqref="Y4"/>
    </sheetView>
  </sheetViews>
  <sheetFormatPr defaultRowHeight="1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7A1C4-3F60-41EC-BC53-B3101AC556C3}">
  <dimension ref="C2:J21"/>
  <sheetViews>
    <sheetView showGridLines="0" zoomScale="84" zoomScaleNormal="84" workbookViewId="0">
      <selection activeCell="O16" sqref="O16"/>
    </sheetView>
  </sheetViews>
  <sheetFormatPr defaultRowHeight="15"/>
  <cols>
    <col min="3" max="3" width="17.85546875" bestFit="1" customWidth="1"/>
    <col min="4" max="4" width="18.85546875" bestFit="1" customWidth="1"/>
    <col min="5" max="5" width="23.140625" bestFit="1" customWidth="1"/>
    <col min="6" max="6" width="29.42578125" bestFit="1" customWidth="1"/>
    <col min="7" max="7" width="13" bestFit="1" customWidth="1"/>
    <col min="8" max="8" width="23.42578125" bestFit="1" customWidth="1"/>
    <col min="9" max="10" width="28.140625" bestFit="1" customWidth="1"/>
  </cols>
  <sheetData>
    <row r="2" spans="3:10">
      <c r="C2" s="22" t="s">
        <v>92</v>
      </c>
      <c r="D2" s="22"/>
      <c r="E2" s="22"/>
      <c r="F2" s="22"/>
      <c r="G2" s="22"/>
      <c r="H2" s="22"/>
      <c r="I2" s="22"/>
      <c r="J2" s="22"/>
    </row>
    <row r="3" spans="3:10">
      <c r="C3" s="7"/>
      <c r="D3" s="7"/>
      <c r="E3" s="7"/>
      <c r="F3" s="7"/>
      <c r="G3" s="7"/>
      <c r="H3" s="7"/>
      <c r="I3" s="7"/>
      <c r="J3" s="7"/>
    </row>
    <row r="4" spans="3:10">
      <c r="C4" s="26" t="s">
        <v>61</v>
      </c>
      <c r="D4" s="26" t="s">
        <v>63</v>
      </c>
      <c r="E4" s="27" t="s">
        <v>86</v>
      </c>
      <c r="F4" s="27" t="s">
        <v>87</v>
      </c>
      <c r="G4" s="27" t="s">
        <v>88</v>
      </c>
      <c r="H4" s="27" t="s">
        <v>91</v>
      </c>
      <c r="I4" s="27" t="s">
        <v>89</v>
      </c>
      <c r="J4" s="27" t="s">
        <v>95</v>
      </c>
    </row>
    <row r="5" spans="3:10">
      <c r="C5" s="21" t="s">
        <v>24</v>
      </c>
      <c r="D5" s="23">
        <v>60100.990000000005</v>
      </c>
      <c r="E5" s="24">
        <v>3.4957826817827789E-2</v>
      </c>
      <c r="F5" s="25">
        <v>275.69261467889913</v>
      </c>
      <c r="G5" s="23">
        <v>39</v>
      </c>
      <c r="H5" s="23">
        <v>17</v>
      </c>
      <c r="I5" s="23">
        <v>17</v>
      </c>
      <c r="J5" s="24">
        <v>0.17948717948717949</v>
      </c>
    </row>
    <row r="6" spans="3:10">
      <c r="C6" s="21" t="s">
        <v>33</v>
      </c>
      <c r="D6" s="23">
        <v>11980.630000000001</v>
      </c>
      <c r="E6" s="24">
        <v>3.2761215395183722E-2</v>
      </c>
      <c r="F6" s="25">
        <v>266.23622222222224</v>
      </c>
      <c r="G6" s="23">
        <v>7</v>
      </c>
      <c r="H6" s="23">
        <v>0</v>
      </c>
      <c r="I6" s="23">
        <v>0</v>
      </c>
      <c r="J6" s="24">
        <v>1</v>
      </c>
    </row>
    <row r="7" spans="3:10">
      <c r="C7" s="21" t="s">
        <v>19</v>
      </c>
      <c r="D7" s="23">
        <v>27346.09</v>
      </c>
      <c r="E7" s="24">
        <v>3.263720700107401E-2</v>
      </c>
      <c r="F7" s="25">
        <v>325.54869047619047</v>
      </c>
      <c r="G7" s="23">
        <v>17</v>
      </c>
      <c r="H7" s="23">
        <v>17</v>
      </c>
      <c r="I7" s="23">
        <v>17</v>
      </c>
      <c r="J7" s="24">
        <v>0</v>
      </c>
    </row>
    <row r="8" spans="3:10">
      <c r="C8" s="21" t="s">
        <v>26</v>
      </c>
      <c r="D8" s="23">
        <v>20774.27</v>
      </c>
      <c r="E8" s="24">
        <v>3.9279358552671166E-2</v>
      </c>
      <c r="F8" s="25">
        <v>233.41876404494383</v>
      </c>
      <c r="G8" s="23">
        <v>15</v>
      </c>
      <c r="H8" s="23">
        <v>0</v>
      </c>
      <c r="I8" s="23">
        <v>0</v>
      </c>
      <c r="J8" s="24">
        <v>0</v>
      </c>
    </row>
    <row r="9" spans="3:10">
      <c r="C9" s="21" t="s">
        <v>46</v>
      </c>
      <c r="D9" s="23">
        <v>50329.009999999995</v>
      </c>
      <c r="E9" s="24">
        <v>4.2619554805469057E-2</v>
      </c>
      <c r="F9" s="25">
        <v>246.71083333333331</v>
      </c>
      <c r="G9" s="23">
        <v>41</v>
      </c>
      <c r="H9" s="23">
        <v>18</v>
      </c>
      <c r="I9" s="23">
        <v>18</v>
      </c>
      <c r="J9" s="24">
        <v>0.26829268292682928</v>
      </c>
    </row>
    <row r="10" spans="3:10">
      <c r="C10" s="21" t="s">
        <v>33</v>
      </c>
      <c r="D10" s="23">
        <v>9053.74</v>
      </c>
      <c r="E10" s="24">
        <v>6.3012633453136499E-2</v>
      </c>
      <c r="F10" s="25">
        <v>232.14717948717947</v>
      </c>
      <c r="G10" s="23">
        <v>11</v>
      </c>
      <c r="H10" s="23">
        <v>0</v>
      </c>
      <c r="I10" s="23">
        <v>0</v>
      </c>
      <c r="J10" s="24">
        <v>1</v>
      </c>
    </row>
    <row r="11" spans="3:10">
      <c r="C11" s="21" t="s">
        <v>19</v>
      </c>
      <c r="D11" s="23">
        <v>26496.84</v>
      </c>
      <c r="E11" s="24">
        <v>3.451354954024706E-2</v>
      </c>
      <c r="F11" s="25">
        <v>267.64484848484847</v>
      </c>
      <c r="G11" s="23">
        <v>18</v>
      </c>
      <c r="H11" s="23">
        <v>18</v>
      </c>
      <c r="I11" s="23">
        <v>18</v>
      </c>
      <c r="J11" s="24">
        <v>0</v>
      </c>
    </row>
    <row r="12" spans="3:10">
      <c r="C12" s="21" t="s">
        <v>26</v>
      </c>
      <c r="D12" s="23">
        <v>14778.429999999998</v>
      </c>
      <c r="E12" s="24">
        <v>4.4659683065115856E-2</v>
      </c>
      <c r="F12" s="25">
        <v>223.91560606060602</v>
      </c>
      <c r="G12" s="23">
        <v>12</v>
      </c>
      <c r="H12" s="23">
        <v>0</v>
      </c>
      <c r="I12" s="23">
        <v>0</v>
      </c>
      <c r="J12" s="24">
        <v>0</v>
      </c>
    </row>
    <row r="13" spans="3:10">
      <c r="C13" s="21" t="s">
        <v>31</v>
      </c>
      <c r="D13" s="23">
        <v>67158.789999999994</v>
      </c>
      <c r="E13" s="24">
        <v>3.2266811239452055E-2</v>
      </c>
      <c r="F13" s="25">
        <v>301.16049327354256</v>
      </c>
      <c r="G13" s="23">
        <v>40</v>
      </c>
      <c r="H13" s="23">
        <v>20</v>
      </c>
      <c r="I13" s="23">
        <v>20</v>
      </c>
      <c r="J13" s="24">
        <v>0.32500000000000001</v>
      </c>
    </row>
    <row r="14" spans="3:10">
      <c r="C14" s="21" t="s">
        <v>33</v>
      </c>
      <c r="D14" s="23">
        <v>20917.269999999997</v>
      </c>
      <c r="E14" s="24">
        <v>3.3632496018839941E-2</v>
      </c>
      <c r="F14" s="25">
        <v>278.89693333333327</v>
      </c>
      <c r="G14" s="23">
        <v>13</v>
      </c>
      <c r="H14" s="23">
        <v>0</v>
      </c>
      <c r="I14" s="23">
        <v>0</v>
      </c>
      <c r="J14" s="24">
        <v>1</v>
      </c>
    </row>
    <row r="15" spans="3:10">
      <c r="C15" s="21" t="s">
        <v>19</v>
      </c>
      <c r="D15" s="23">
        <v>34540.03</v>
      </c>
      <c r="E15" s="24">
        <v>3.1687870566412361E-2</v>
      </c>
      <c r="F15" s="25">
        <v>305.66398230088492</v>
      </c>
      <c r="G15" s="23">
        <v>20</v>
      </c>
      <c r="H15" s="23">
        <v>20</v>
      </c>
      <c r="I15" s="23">
        <v>20</v>
      </c>
      <c r="J15" s="24">
        <v>0</v>
      </c>
    </row>
    <row r="16" spans="3:10">
      <c r="C16" s="21" t="s">
        <v>26</v>
      </c>
      <c r="D16" s="23">
        <v>11701.489999999998</v>
      </c>
      <c r="E16" s="24">
        <v>3.1534445613336425E-2</v>
      </c>
      <c r="F16" s="25">
        <v>334.32828571428564</v>
      </c>
      <c r="G16" s="23">
        <v>7</v>
      </c>
      <c r="H16" s="23">
        <v>0</v>
      </c>
      <c r="I16" s="23">
        <v>0</v>
      </c>
      <c r="J16" s="24">
        <v>0</v>
      </c>
    </row>
    <row r="17" spans="3:10">
      <c r="C17" s="21" t="s">
        <v>17</v>
      </c>
      <c r="D17" s="23">
        <v>31182.52</v>
      </c>
      <c r="E17" s="24">
        <v>5.2064425838578794E-2</v>
      </c>
      <c r="F17" s="25">
        <v>201.17754838709678</v>
      </c>
      <c r="G17" s="23">
        <v>30</v>
      </c>
      <c r="H17" s="23">
        <v>16</v>
      </c>
      <c r="I17" s="23">
        <v>16</v>
      </c>
      <c r="J17" s="24">
        <v>0.2</v>
      </c>
    </row>
    <row r="18" spans="3:10">
      <c r="C18" s="21" t="s">
        <v>33</v>
      </c>
      <c r="D18" s="23">
        <v>10526.85</v>
      </c>
      <c r="E18" s="24">
        <v>2.8308563340410473E-2</v>
      </c>
      <c r="F18" s="25">
        <v>318.99545454545455</v>
      </c>
      <c r="G18" s="23">
        <v>6</v>
      </c>
      <c r="H18" s="23">
        <v>0</v>
      </c>
      <c r="I18" s="23">
        <v>0</v>
      </c>
      <c r="J18" s="24">
        <v>1</v>
      </c>
    </row>
    <row r="19" spans="3:10">
      <c r="C19" s="21" t="s">
        <v>19</v>
      </c>
      <c r="D19" s="23">
        <v>10103.34</v>
      </c>
      <c r="E19" s="24">
        <v>8.4575991701754075E-2</v>
      </c>
      <c r="F19" s="25">
        <v>131.21220779220781</v>
      </c>
      <c r="G19" s="23">
        <v>16</v>
      </c>
      <c r="H19" s="23">
        <v>16</v>
      </c>
      <c r="I19" s="23">
        <v>16</v>
      </c>
      <c r="J19" s="24">
        <v>0</v>
      </c>
    </row>
    <row r="20" spans="3:10">
      <c r="C20" s="21" t="s">
        <v>26</v>
      </c>
      <c r="D20" s="23">
        <v>10552.330000000002</v>
      </c>
      <c r="E20" s="24">
        <v>4.4634692053792849E-2</v>
      </c>
      <c r="F20" s="25">
        <v>234.49622222222226</v>
      </c>
      <c r="G20" s="23">
        <v>8</v>
      </c>
      <c r="H20" s="23">
        <v>0</v>
      </c>
      <c r="I20" s="23">
        <v>0</v>
      </c>
      <c r="J20" s="24">
        <v>0</v>
      </c>
    </row>
    <row r="21" spans="3:10">
      <c r="C21" s="21" t="s">
        <v>62</v>
      </c>
      <c r="D21" s="23">
        <v>208771.31</v>
      </c>
      <c r="E21" s="24">
        <v>3.8494273949806611E-2</v>
      </c>
      <c r="F21" s="25">
        <v>260.96413749999999</v>
      </c>
      <c r="G21" s="23">
        <v>150</v>
      </c>
      <c r="H21" s="23">
        <v>71</v>
      </c>
      <c r="I21" s="23">
        <v>71</v>
      </c>
      <c r="J21" s="24">
        <v>0.24666666666666667</v>
      </c>
    </row>
  </sheetData>
  <mergeCells count="1">
    <mergeCell ref="C2:J2"/>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D350219-4DAC-4B38-867E-A7709A07431B}">
  <ds:schemaRefs/>
</ds:datastoreItem>
</file>

<file path=customXml/itemProps2.xml><?xml version="1.0" encoding="utf-8"?>
<ds:datastoreItem xmlns:ds="http://schemas.openxmlformats.org/officeDocument/2006/customXml" ds:itemID="{5DB75FC0-8542-4E66-B7C3-147A9DF090BF}">
  <ds:schemaRefs/>
</ds:datastoreItem>
</file>

<file path=customXml/itemProps3.xml><?xml version="1.0" encoding="utf-8"?>
<ds:datastoreItem xmlns:ds="http://schemas.openxmlformats.org/officeDocument/2006/customXml" ds:itemID="{D26277AA-22B1-4E37-B5B8-6A5292562737}">
  <ds:schemaRefs/>
</ds:datastoreItem>
</file>

<file path=customXml/itemProps4.xml><?xml version="1.0" encoding="utf-8"?>
<ds:datastoreItem xmlns:ds="http://schemas.openxmlformats.org/officeDocument/2006/customXml" ds:itemID="{B356611C-C12B-4650-923F-4B7FBC0D95D2}">
  <ds:schemaRefs/>
</ds:datastoreItem>
</file>

<file path=customXml/itemProps5.xml><?xml version="1.0" encoding="utf-8"?>
<ds:datastoreItem xmlns:ds="http://schemas.openxmlformats.org/officeDocument/2006/customXml" ds:itemID="{318987EF-E32B-4D6F-8FB9-BF950D64A4EE}">
  <ds:schemaRefs/>
</ds:datastoreItem>
</file>

<file path=customXml/itemProps6.xml><?xml version="1.0" encoding="utf-8"?>
<ds:datastoreItem xmlns:ds="http://schemas.openxmlformats.org/officeDocument/2006/customXml" ds:itemID="{45AAC7E0-03B4-4BA6-816C-5DB3ED3D08E0}">
  <ds:schemaRefs/>
</ds:datastoreItem>
</file>

<file path=customXml/itemProps7.xml><?xml version="1.0" encoding="utf-8"?>
<ds:datastoreItem xmlns:ds="http://schemas.openxmlformats.org/officeDocument/2006/customXml" ds:itemID="{D800267B-88F4-4A70-86B0-1965B3C41AFB}">
  <ds:schemaRefs/>
</ds:datastoreItem>
</file>

<file path=customXml/itemProps8.xml><?xml version="1.0" encoding="utf-8"?>
<ds:datastoreItem xmlns:ds="http://schemas.openxmlformats.org/officeDocument/2006/customXml" ds:itemID="{FF0B16B8-35AC-4670-9377-89EE3A655A74}">
  <ds:schemaRefs/>
</ds:datastoreItem>
</file>

<file path=customXml/itemProps9.xml><?xml version="1.0" encoding="utf-8"?>
<ds:datastoreItem xmlns:ds="http://schemas.openxmlformats.org/officeDocument/2006/customXml" ds:itemID="{353B8490-E889-4BED-9CEF-83D489BF251A}">
  <ds:schemaRefs/>
</ds:datastoreItem>
</file>

<file path=customXml/itemProps10.xml><?xml version="1.0" encoding="utf-8"?>
<ds:datastoreItem xmlns:ds="http://schemas.openxmlformats.org/officeDocument/2006/customXml" ds:itemID="{A6370C43-EEB9-415D-ACD5-26A294F661F0}">
  <ds:schemaRefs/>
</ds:datastoreItem>
</file>

<file path=customXml/itemProps11.xml><?xml version="1.0" encoding="utf-8"?>
<ds:datastoreItem xmlns:ds="http://schemas.openxmlformats.org/officeDocument/2006/customXml" ds:itemID="{8B2227F0-280D-4523-ADB4-8C50771D884E}">
  <ds:schemaRefs/>
</ds:datastoreItem>
</file>

<file path=customXml/itemProps12.xml><?xml version="1.0" encoding="utf-8"?>
<ds:datastoreItem xmlns:ds="http://schemas.openxmlformats.org/officeDocument/2006/customXml" ds:itemID="{38C542F2-220B-4C69-9090-5A0E86D76789}">
  <ds:schemaRefs/>
</ds:datastoreItem>
</file>

<file path=customXml/itemProps13.xml><?xml version="1.0" encoding="utf-8"?>
<ds:datastoreItem xmlns:ds="http://schemas.openxmlformats.org/officeDocument/2006/customXml" ds:itemID="{DDC2531F-E087-4F5E-B714-C520F3107FB8}">
  <ds:schemaRefs/>
</ds:datastoreItem>
</file>

<file path=customXml/itemProps14.xml><?xml version="1.0" encoding="utf-8"?>
<ds:datastoreItem xmlns:ds="http://schemas.openxmlformats.org/officeDocument/2006/customXml" ds:itemID="{3D78C845-5EE8-432A-833B-CD4AAF1919B5}">
  <ds:schemaRefs/>
</ds:datastoreItem>
</file>

<file path=customXml/itemProps15.xml><?xml version="1.0" encoding="utf-8"?>
<ds:datastoreItem xmlns:ds="http://schemas.openxmlformats.org/officeDocument/2006/customXml" ds:itemID="{D9460680-92FB-4358-A20C-30AE0B3775F4}">
  <ds:schemaRefs/>
</ds:datastoreItem>
</file>

<file path=customXml/itemProps16.xml><?xml version="1.0" encoding="utf-8"?>
<ds:datastoreItem xmlns:ds="http://schemas.openxmlformats.org/officeDocument/2006/customXml" ds:itemID="{E93E82FA-B914-4C6F-8EA2-F07280B168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vt:lpstr>
      <vt:lpstr>Dashboard</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Medgo Digital Marketing Manager</dc:creator>
  <cp:lastModifiedBy>Medgo Digital Marketing Manager</cp:lastModifiedBy>
  <dcterms:created xsi:type="dcterms:W3CDTF">2025-10-10T21:38:54Z</dcterms:created>
  <dcterms:modified xsi:type="dcterms:W3CDTF">2025-10-15T22:55:12Z</dcterms:modified>
</cp:coreProperties>
</file>